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Rafael\Downloads\pgcomp\planejamento atividades\aulas\CIMATEC\obras\Sanitizar_Planilha\"/>
    </mc:Choice>
  </mc:AlternateContent>
  <xr:revisionPtr revIDLastSave="0" documentId="8_{A0BDAADC-0CAA-487B-A643-C5F0FAED720B}" xr6:coauthVersionLast="47" xr6:coauthVersionMax="47" xr10:uidLastSave="{00000000-0000-0000-0000-000000000000}"/>
  <bookViews>
    <workbookView xWindow="-108" yWindow="-108" windowWidth="23256" windowHeight="12456" tabRatio="602" activeTab="3" xr2:uid="{00000000-000D-0000-FFFF-FFFF00000000}"/>
  </bookViews>
  <sheets>
    <sheet name="MASTER" sheetId="11" r:id="rId1"/>
    <sheet name="QDR" sheetId="12" r:id="rId2"/>
    <sheet name="MC - Obra" sheetId="10" r:id="rId3"/>
    <sheet name="DADOS TRATADOS" sheetId="13" r:id="rId4"/>
  </sheets>
  <definedNames>
    <definedName name="_xlnm._FilterDatabase" localSheetId="2" hidden="1">'MC - Obra'!#REF!</definedName>
    <definedName name="_xlnm.Print_Area" localSheetId="2">'MC - Obra'!$A$1:$I$810</definedName>
    <definedName name="_xlnm.Print_Titles" localSheetId="2">'MC - Obra'!$1:$5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0" l="1"/>
  <c r="I808" i="10"/>
  <c r="I807" i="10"/>
  <c r="I806" i="10"/>
  <c r="I801" i="10"/>
  <c r="I800" i="10"/>
  <c r="I799" i="10"/>
  <c r="I794" i="10"/>
  <c r="I793" i="10"/>
  <c r="I792" i="10"/>
  <c r="I787" i="10"/>
  <c r="I786" i="10"/>
  <c r="I785" i="10"/>
  <c r="I780" i="10"/>
  <c r="I779" i="10"/>
  <c r="I778" i="10"/>
  <c r="I773" i="10"/>
  <c r="I772" i="10"/>
  <c r="I771" i="10"/>
  <c r="I766" i="10"/>
  <c r="I765" i="10"/>
  <c r="I764" i="10"/>
  <c r="I759" i="10"/>
  <c r="I758" i="10"/>
  <c r="I757" i="10"/>
  <c r="I752" i="10"/>
  <c r="I751" i="10"/>
  <c r="I750" i="10"/>
  <c r="I745" i="10"/>
  <c r="I744" i="10"/>
  <c r="I743" i="10"/>
  <c r="I738" i="10"/>
  <c r="I737" i="10"/>
  <c r="I736" i="10"/>
  <c r="I731" i="10"/>
  <c r="I730" i="10"/>
  <c r="I729" i="10"/>
  <c r="I724" i="10"/>
  <c r="I723" i="10"/>
  <c r="I722" i="10"/>
  <c r="I716" i="10"/>
  <c r="I717" i="10"/>
  <c r="I715" i="10"/>
  <c r="I710" i="10"/>
  <c r="I709" i="10"/>
  <c r="I708" i="10"/>
  <c r="I703" i="10"/>
  <c r="I702" i="10"/>
  <c r="I701" i="10"/>
  <c r="I696" i="10"/>
  <c r="I695" i="10"/>
  <c r="I694" i="10"/>
  <c r="I689" i="10"/>
  <c r="I688" i="10"/>
  <c r="I687" i="10"/>
  <c r="I682" i="10"/>
  <c r="I681" i="10"/>
  <c r="I680" i="10"/>
  <c r="I675" i="10"/>
  <c r="I674" i="10"/>
  <c r="I673" i="10"/>
  <c r="I668" i="10"/>
  <c r="I667" i="10"/>
  <c r="I666" i="10"/>
  <c r="I661" i="10"/>
  <c r="I660" i="10"/>
  <c r="I659" i="10"/>
  <c r="I654" i="10"/>
  <c r="I653" i="10"/>
  <c r="I652" i="10"/>
  <c r="I647" i="10"/>
  <c r="I646" i="10"/>
  <c r="I645" i="10"/>
  <c r="I640" i="10"/>
  <c r="I639" i="10"/>
  <c r="I638" i="10"/>
  <c r="I633" i="10"/>
  <c r="I632" i="10"/>
  <c r="I631" i="10"/>
  <c r="I626" i="10"/>
  <c r="I625" i="10"/>
  <c r="I624" i="10"/>
  <c r="I619" i="10"/>
  <c r="I618" i="10"/>
  <c r="I617" i="10"/>
  <c r="I612" i="10"/>
  <c r="I611" i="10"/>
  <c r="I610" i="10"/>
  <c r="I605" i="10"/>
  <c r="I604" i="10"/>
  <c r="I603" i="10"/>
  <c r="I598" i="10"/>
  <c r="I597" i="10"/>
  <c r="I596" i="10"/>
  <c r="I591" i="10"/>
  <c r="I590" i="10"/>
  <c r="I589" i="10"/>
  <c r="I584" i="10"/>
  <c r="I583" i="10"/>
  <c r="I582" i="10"/>
  <c r="I577" i="10"/>
  <c r="I576" i="10"/>
  <c r="I575" i="10"/>
  <c r="I570" i="10"/>
  <c r="I569" i="10"/>
  <c r="I568" i="10"/>
  <c r="I563" i="10"/>
  <c r="I562" i="10"/>
  <c r="I561" i="10"/>
  <c r="I564" i="10" s="1"/>
  <c r="I556" i="10"/>
  <c r="I555" i="10"/>
  <c r="I554" i="10"/>
  <c r="I549" i="10"/>
  <c r="I548" i="10"/>
  <c r="I547" i="10"/>
  <c r="I542" i="10"/>
  <c r="I541" i="10"/>
  <c r="I540" i="10"/>
  <c r="I535" i="10"/>
  <c r="I534" i="10"/>
  <c r="I533" i="10"/>
  <c r="I528" i="10"/>
  <c r="I527" i="10"/>
  <c r="I526" i="10"/>
  <c r="I521" i="10"/>
  <c r="I520" i="10"/>
  <c r="I519" i="10"/>
  <c r="I514" i="10"/>
  <c r="I513" i="10"/>
  <c r="I512" i="10"/>
  <c r="I507" i="10"/>
  <c r="I506" i="10"/>
  <c r="I505" i="10"/>
  <c r="I500" i="10"/>
  <c r="I499" i="10"/>
  <c r="I498" i="10"/>
  <c r="I493" i="10"/>
  <c r="I492" i="10"/>
  <c r="I491" i="10"/>
  <c r="I486" i="10"/>
  <c r="I485" i="10"/>
  <c r="I484" i="10"/>
  <c r="I479" i="10"/>
  <c r="I478" i="10"/>
  <c r="I477" i="10"/>
  <c r="I472" i="10"/>
  <c r="I471" i="10"/>
  <c r="I470" i="10"/>
  <c r="I465" i="10"/>
  <c r="I464" i="10"/>
  <c r="I463" i="10"/>
  <c r="I458" i="10"/>
  <c r="I457" i="10"/>
  <c r="I456" i="10"/>
  <c r="I451" i="10"/>
  <c r="I450" i="10"/>
  <c r="I449" i="10"/>
  <c r="I444" i="10"/>
  <c r="I443" i="10"/>
  <c r="I442" i="10"/>
  <c r="I437" i="10"/>
  <c r="I436" i="10"/>
  <c r="I435" i="10"/>
  <c r="I430" i="10"/>
  <c r="I429" i="10"/>
  <c r="I428" i="10"/>
  <c r="I423" i="10"/>
  <c r="I422" i="10"/>
  <c r="I421" i="10"/>
  <c r="I416" i="10"/>
  <c r="I415" i="10"/>
  <c r="I414" i="10"/>
  <c r="I409" i="10"/>
  <c r="I408" i="10"/>
  <c r="I407" i="10"/>
  <c r="I402" i="10"/>
  <c r="I401" i="10"/>
  <c r="I400" i="10"/>
  <c r="I395" i="10"/>
  <c r="I394" i="10"/>
  <c r="I393" i="10"/>
  <c r="I388" i="10"/>
  <c r="I387" i="10"/>
  <c r="I386" i="10"/>
  <c r="I381" i="10"/>
  <c r="I380" i="10"/>
  <c r="I379" i="10"/>
  <c r="I374" i="10"/>
  <c r="I373" i="10"/>
  <c r="I372" i="10"/>
  <c r="I366" i="10"/>
  <c r="I367" i="10"/>
  <c r="I365" i="10"/>
  <c r="I360" i="10"/>
  <c r="I359" i="10"/>
  <c r="I358" i="10"/>
  <c r="I353" i="10"/>
  <c r="I352" i="10"/>
  <c r="I351" i="10"/>
  <c r="I346" i="10"/>
  <c r="I345" i="10"/>
  <c r="I344" i="10"/>
  <c r="I339" i="10"/>
  <c r="I338" i="10"/>
  <c r="I337" i="10"/>
  <c r="I332" i="10"/>
  <c r="I331" i="10"/>
  <c r="I330" i="10"/>
  <c r="I325" i="10"/>
  <c r="I324" i="10"/>
  <c r="I323" i="10"/>
  <c r="I318" i="10"/>
  <c r="I317" i="10"/>
  <c r="I316" i="10"/>
  <c r="I311" i="10"/>
  <c r="I310" i="10"/>
  <c r="I309" i="10"/>
  <c r="I304" i="10"/>
  <c r="I303" i="10"/>
  <c r="I302" i="10"/>
  <c r="I297" i="10"/>
  <c r="I296" i="10"/>
  <c r="I295" i="10"/>
  <c r="I290" i="10"/>
  <c r="I289" i="10"/>
  <c r="I288" i="10"/>
  <c r="I283" i="10"/>
  <c r="I282" i="10"/>
  <c r="I281" i="10"/>
  <c r="I276" i="10"/>
  <c r="I275" i="10"/>
  <c r="I274" i="10"/>
  <c r="I269" i="10"/>
  <c r="I268" i="10"/>
  <c r="I267" i="10"/>
  <c r="I262" i="10"/>
  <c r="I261" i="10"/>
  <c r="I260" i="10"/>
  <c r="I255" i="10"/>
  <c r="I254" i="10"/>
  <c r="I253" i="10"/>
  <c r="I248" i="10"/>
  <c r="I247" i="10"/>
  <c r="I246" i="10"/>
  <c r="I241" i="10"/>
  <c r="I240" i="10"/>
  <c r="I239" i="10"/>
  <c r="I234" i="10"/>
  <c r="I233" i="10"/>
  <c r="I232" i="10"/>
  <c r="I227" i="10"/>
  <c r="I226" i="10"/>
  <c r="I225" i="10"/>
  <c r="I220" i="10"/>
  <c r="I219" i="10"/>
  <c r="I218" i="10"/>
  <c r="I213" i="10"/>
  <c r="I212" i="10"/>
  <c r="I211" i="10"/>
  <c r="I206" i="10"/>
  <c r="I205" i="10"/>
  <c r="I204" i="10"/>
  <c r="I199" i="10"/>
  <c r="I198" i="10"/>
  <c r="I197" i="10"/>
  <c r="I192" i="10"/>
  <c r="I191" i="10"/>
  <c r="I190" i="10"/>
  <c r="I185" i="10"/>
  <c r="I184" i="10"/>
  <c r="I183" i="10"/>
  <c r="I178" i="10"/>
  <c r="I177" i="10"/>
  <c r="I176" i="10"/>
  <c r="I171" i="10"/>
  <c r="I170" i="10"/>
  <c r="I169" i="10"/>
  <c r="I164" i="10"/>
  <c r="I163" i="10"/>
  <c r="I162" i="10"/>
  <c r="I157" i="10"/>
  <c r="I156" i="10"/>
  <c r="I155" i="10"/>
  <c r="I150" i="10"/>
  <c r="I148" i="10"/>
  <c r="I149" i="10"/>
  <c r="I143" i="10"/>
  <c r="I142" i="10"/>
  <c r="I141" i="10"/>
  <c r="I136" i="10"/>
  <c r="I135" i="10"/>
  <c r="I134" i="10"/>
  <c r="I129" i="10"/>
  <c r="I128" i="10"/>
  <c r="I127" i="10"/>
  <c r="I122" i="10"/>
  <c r="I121" i="10"/>
  <c r="I120" i="10"/>
  <c r="I115" i="10"/>
  <c r="I114" i="10"/>
  <c r="I113" i="10"/>
  <c r="I108" i="10"/>
  <c r="I107" i="10"/>
  <c r="I106" i="10"/>
  <c r="I101" i="10"/>
  <c r="I100" i="10"/>
  <c r="I99" i="10"/>
  <c r="I94" i="10"/>
  <c r="I93" i="10"/>
  <c r="I92" i="10"/>
  <c r="I87" i="10"/>
  <c r="I86" i="10"/>
  <c r="I85" i="10"/>
  <c r="I79" i="10"/>
  <c r="I80" i="10"/>
  <c r="I78" i="10"/>
  <c r="I73" i="10"/>
  <c r="I72" i="10"/>
  <c r="I71" i="10"/>
  <c r="I66" i="10"/>
  <c r="I65" i="10"/>
  <c r="I64" i="10"/>
  <c r="I59" i="10"/>
  <c r="I58" i="10"/>
  <c r="I57" i="10"/>
  <c r="I52" i="10"/>
  <c r="I51" i="10"/>
  <c r="I50" i="10"/>
  <c r="I45" i="10"/>
  <c r="I44" i="10"/>
  <c r="I43" i="10"/>
  <c r="I38" i="10"/>
  <c r="I37" i="10"/>
  <c r="I36" i="10"/>
  <c r="I31" i="10"/>
  <c r="I30" i="10"/>
  <c r="I29" i="10"/>
  <c r="I24" i="10"/>
  <c r="I23" i="10"/>
  <c r="I22" i="10"/>
  <c r="I17" i="10"/>
  <c r="I16" i="10"/>
  <c r="I15" i="10"/>
  <c r="L7" i="12"/>
  <c r="N7" i="12" s="1"/>
  <c r="Q7" i="12" s="1"/>
  <c r="L8" i="12"/>
  <c r="N8" i="12" s="1"/>
  <c r="L9" i="12"/>
  <c r="N9" i="12" s="1"/>
  <c r="S9" i="12" s="1"/>
  <c r="L6" i="12"/>
  <c r="N6" i="12" s="1"/>
  <c r="C110" i="12"/>
  <c r="B110" i="12"/>
  <c r="A110" i="12"/>
  <c r="C109" i="12"/>
  <c r="B109" i="12"/>
  <c r="A109" i="12"/>
  <c r="C108" i="12"/>
  <c r="B108" i="12"/>
  <c r="A108" i="12"/>
  <c r="C107" i="12"/>
  <c r="B107" i="12"/>
  <c r="A107" i="12"/>
  <c r="C106" i="12"/>
  <c r="B106" i="12"/>
  <c r="A106" i="12"/>
  <c r="C105" i="12"/>
  <c r="B105" i="12"/>
  <c r="A105" i="12"/>
  <c r="C104" i="12"/>
  <c r="B104" i="12"/>
  <c r="A104" i="12"/>
  <c r="C103" i="12"/>
  <c r="B103" i="12"/>
  <c r="A103" i="12"/>
  <c r="C102" i="12"/>
  <c r="B102" i="12"/>
  <c r="A102" i="12"/>
  <c r="C101" i="12"/>
  <c r="B101" i="12"/>
  <c r="A101" i="12"/>
  <c r="C100" i="12"/>
  <c r="B100" i="12"/>
  <c r="A100" i="12"/>
  <c r="C99" i="12"/>
  <c r="B99" i="12"/>
  <c r="A99" i="12"/>
  <c r="C98" i="12"/>
  <c r="B98" i="12"/>
  <c r="A98" i="12"/>
  <c r="C97" i="12"/>
  <c r="B97" i="12"/>
  <c r="A97" i="12"/>
  <c r="C96" i="12"/>
  <c r="B96" i="12"/>
  <c r="A96" i="12"/>
  <c r="C95" i="12"/>
  <c r="B95" i="12"/>
  <c r="A95" i="12"/>
  <c r="C94" i="12"/>
  <c r="B94" i="12"/>
  <c r="A94" i="12"/>
  <c r="C93" i="12"/>
  <c r="B93" i="12"/>
  <c r="A93" i="12"/>
  <c r="C92" i="12"/>
  <c r="B92" i="12"/>
  <c r="A92" i="12"/>
  <c r="C91" i="12"/>
  <c r="B91" i="12"/>
  <c r="A91" i="12"/>
  <c r="C90" i="12"/>
  <c r="B90" i="12"/>
  <c r="A90" i="12"/>
  <c r="C89" i="12"/>
  <c r="B89" i="12"/>
  <c r="A89" i="12"/>
  <c r="C88" i="12"/>
  <c r="B88" i="12"/>
  <c r="A88" i="12"/>
  <c r="C87" i="12"/>
  <c r="B87" i="12"/>
  <c r="A87" i="12"/>
  <c r="C86" i="12"/>
  <c r="B86" i="12"/>
  <c r="A86" i="12"/>
  <c r="C85" i="12"/>
  <c r="B85" i="12"/>
  <c r="A85" i="12"/>
  <c r="C84" i="12"/>
  <c r="B84" i="12"/>
  <c r="A84" i="12"/>
  <c r="C83" i="12"/>
  <c r="B83" i="12"/>
  <c r="A83" i="12"/>
  <c r="C82" i="12"/>
  <c r="B82" i="12"/>
  <c r="A82" i="12"/>
  <c r="C81" i="12"/>
  <c r="B81" i="12"/>
  <c r="A81" i="12"/>
  <c r="C80" i="12"/>
  <c r="B80" i="12"/>
  <c r="A80" i="12"/>
  <c r="C79" i="12"/>
  <c r="B79" i="12"/>
  <c r="A79" i="12"/>
  <c r="C78" i="12"/>
  <c r="B78" i="12"/>
  <c r="A78" i="12"/>
  <c r="C77" i="12"/>
  <c r="B77" i="12"/>
  <c r="A77" i="12"/>
  <c r="C76" i="12"/>
  <c r="B76" i="12"/>
  <c r="A76" i="12"/>
  <c r="C75" i="12"/>
  <c r="B75" i="12"/>
  <c r="A75" i="12"/>
  <c r="C74" i="12"/>
  <c r="B74" i="12"/>
  <c r="A74" i="12"/>
  <c r="C73" i="12"/>
  <c r="B73" i="12"/>
  <c r="A73" i="12"/>
  <c r="C72" i="12"/>
  <c r="B72" i="12"/>
  <c r="A72" i="12"/>
  <c r="C71" i="12"/>
  <c r="B71" i="12"/>
  <c r="A71" i="12"/>
  <c r="C70" i="12"/>
  <c r="B70" i="12"/>
  <c r="A70" i="12"/>
  <c r="C69" i="12"/>
  <c r="B69" i="12"/>
  <c r="A69" i="12"/>
  <c r="C68" i="12"/>
  <c r="B68" i="12"/>
  <c r="A68" i="12"/>
  <c r="C67" i="12"/>
  <c r="B67" i="12"/>
  <c r="A67" i="12"/>
  <c r="C66" i="12"/>
  <c r="B66" i="12"/>
  <c r="A66" i="12"/>
  <c r="C65" i="12"/>
  <c r="B65" i="12"/>
  <c r="A65" i="12"/>
  <c r="C64" i="12"/>
  <c r="B64" i="12"/>
  <c r="A64" i="12"/>
  <c r="C63" i="12"/>
  <c r="B63" i="12"/>
  <c r="A63" i="12"/>
  <c r="C62" i="12"/>
  <c r="B62" i="12"/>
  <c r="A62" i="12"/>
  <c r="C61" i="12"/>
  <c r="B61" i="12"/>
  <c r="A61" i="12"/>
  <c r="C60" i="12"/>
  <c r="B60" i="12"/>
  <c r="A60" i="12"/>
  <c r="C59" i="12"/>
  <c r="B59" i="12"/>
  <c r="A59" i="12"/>
  <c r="C58" i="12"/>
  <c r="B58" i="12"/>
  <c r="A58" i="12"/>
  <c r="C57" i="12"/>
  <c r="B57" i="12"/>
  <c r="A57" i="12"/>
  <c r="C56" i="12"/>
  <c r="B56" i="12"/>
  <c r="A56" i="12"/>
  <c r="C55" i="12"/>
  <c r="B55" i="12"/>
  <c r="A55" i="12"/>
  <c r="C54" i="12"/>
  <c r="B54" i="12"/>
  <c r="A54" i="12"/>
  <c r="C53" i="12"/>
  <c r="B53" i="12"/>
  <c r="A53" i="12"/>
  <c r="C52" i="12"/>
  <c r="B52" i="12"/>
  <c r="A52" i="12"/>
  <c r="C51" i="12"/>
  <c r="B51" i="12"/>
  <c r="A51" i="12"/>
  <c r="C50" i="12"/>
  <c r="B50" i="12"/>
  <c r="A50" i="12"/>
  <c r="C49" i="12"/>
  <c r="B49" i="12"/>
  <c r="A49" i="12"/>
  <c r="C48" i="12"/>
  <c r="B48" i="12"/>
  <c r="A48" i="12"/>
  <c r="C47" i="12"/>
  <c r="B47" i="12"/>
  <c r="A47" i="12"/>
  <c r="C46" i="12"/>
  <c r="B46" i="12"/>
  <c r="A46" i="12"/>
  <c r="C45" i="12"/>
  <c r="B45" i="12"/>
  <c r="A45" i="12"/>
  <c r="C44" i="12"/>
  <c r="B44" i="12"/>
  <c r="A44" i="12"/>
  <c r="C43" i="12"/>
  <c r="B43" i="12"/>
  <c r="A43" i="12"/>
  <c r="C42" i="12"/>
  <c r="B42" i="12"/>
  <c r="A42" i="12"/>
  <c r="C41" i="12"/>
  <c r="B41" i="12"/>
  <c r="A41" i="12"/>
  <c r="C40" i="12"/>
  <c r="B40" i="12"/>
  <c r="A40" i="12"/>
  <c r="C39" i="12"/>
  <c r="B39" i="12"/>
  <c r="A39" i="12"/>
  <c r="C38" i="12"/>
  <c r="B38" i="12"/>
  <c r="A38" i="12"/>
  <c r="C37" i="12"/>
  <c r="B37" i="12"/>
  <c r="A37" i="12"/>
  <c r="C36" i="12"/>
  <c r="B36" i="12"/>
  <c r="A36" i="12"/>
  <c r="C35" i="12"/>
  <c r="B35" i="12"/>
  <c r="A35" i="12"/>
  <c r="C34" i="12"/>
  <c r="B34" i="12"/>
  <c r="A34" i="12"/>
  <c r="C33" i="12"/>
  <c r="B33" i="12"/>
  <c r="A33" i="12"/>
  <c r="C32" i="12"/>
  <c r="B32" i="12"/>
  <c r="A32" i="12"/>
  <c r="C31" i="12"/>
  <c r="B31" i="12"/>
  <c r="A31" i="12"/>
  <c r="C30" i="12"/>
  <c r="B30" i="12"/>
  <c r="A30" i="12"/>
  <c r="C29" i="12"/>
  <c r="B29" i="12"/>
  <c r="A29" i="12"/>
  <c r="C28" i="12"/>
  <c r="B28" i="12"/>
  <c r="A28" i="12"/>
  <c r="C27" i="12"/>
  <c r="B27" i="12"/>
  <c r="A27" i="12"/>
  <c r="C26" i="12"/>
  <c r="B26" i="12"/>
  <c r="A26" i="12"/>
  <c r="C25" i="12"/>
  <c r="B25" i="12"/>
  <c r="A25" i="12"/>
  <c r="C24" i="12"/>
  <c r="B24" i="12"/>
  <c r="A24" i="12"/>
  <c r="C23" i="12"/>
  <c r="B23" i="12"/>
  <c r="A23" i="12"/>
  <c r="C22" i="12"/>
  <c r="B22" i="12"/>
  <c r="A22" i="12"/>
  <c r="C21" i="12"/>
  <c r="B21" i="12"/>
  <c r="A21" i="12"/>
  <c r="C20" i="12"/>
  <c r="B20" i="12"/>
  <c r="A20" i="12"/>
  <c r="C19" i="12"/>
  <c r="B19" i="12"/>
  <c r="A19" i="12"/>
  <c r="C18" i="12"/>
  <c r="B18" i="12"/>
  <c r="A18" i="12"/>
  <c r="C17" i="12"/>
  <c r="B17" i="12"/>
  <c r="A17" i="12"/>
  <c r="C16" i="12"/>
  <c r="B16" i="12"/>
  <c r="A16" i="12"/>
  <c r="C11" i="12"/>
  <c r="C12" i="12"/>
  <c r="C13" i="12"/>
  <c r="C14" i="12"/>
  <c r="C15" i="12"/>
  <c r="C10" i="12"/>
  <c r="B11" i="12"/>
  <c r="B12" i="12"/>
  <c r="B13" i="12"/>
  <c r="B14" i="12"/>
  <c r="B15" i="12"/>
  <c r="A11" i="12"/>
  <c r="A12" i="12"/>
  <c r="A13" i="12"/>
  <c r="A14" i="12"/>
  <c r="A15" i="12"/>
  <c r="B10" i="12"/>
  <c r="A10" i="12"/>
  <c r="I81" i="10" l="1"/>
  <c r="I487" i="10"/>
  <c r="I543" i="10"/>
  <c r="I599" i="10"/>
  <c r="I683" i="10"/>
  <c r="I368" i="10"/>
  <c r="I18" i="10"/>
  <c r="I151" i="10"/>
  <c r="I459" i="10"/>
  <c r="I515" i="10"/>
  <c r="I571" i="10"/>
  <c r="I627" i="10"/>
  <c r="I739" i="10"/>
  <c r="I221" i="10"/>
  <c r="I277" i="10"/>
  <c r="I389" i="10"/>
  <c r="I473" i="10"/>
  <c r="I501" i="10"/>
  <c r="I529" i="10"/>
  <c r="I613" i="10"/>
  <c r="I669" i="10"/>
  <c r="I697" i="10"/>
  <c r="I725" i="10"/>
  <c r="I767" i="10"/>
  <c r="I760" i="10"/>
  <c r="I809" i="10"/>
  <c r="I802" i="10"/>
  <c r="I795" i="10"/>
  <c r="I788" i="10"/>
  <c r="I781" i="10"/>
  <c r="I774" i="10"/>
  <c r="I753" i="10"/>
  <c r="I746" i="10"/>
  <c r="I732" i="10"/>
  <c r="I718" i="10"/>
  <c r="I711" i="10"/>
  <c r="I704" i="10"/>
  <c r="I690" i="10"/>
  <c r="I655" i="10"/>
  <c r="I676" i="10"/>
  <c r="I662" i="10"/>
  <c r="I648" i="10"/>
  <c r="I641" i="10"/>
  <c r="I634" i="10"/>
  <c r="I620" i="10"/>
  <c r="I606" i="10"/>
  <c r="I592" i="10"/>
  <c r="I585" i="10"/>
  <c r="I578" i="10"/>
  <c r="I557" i="10"/>
  <c r="I550" i="10"/>
  <c r="I536" i="10"/>
  <c r="I522" i="10"/>
  <c r="I508" i="10"/>
  <c r="I494" i="10"/>
  <c r="I431" i="10"/>
  <c r="I417" i="10"/>
  <c r="I480" i="10"/>
  <c r="I466" i="10"/>
  <c r="I452" i="10"/>
  <c r="I445" i="10"/>
  <c r="I438" i="10"/>
  <c r="I424" i="10"/>
  <c r="I410" i="10"/>
  <c r="I403" i="10"/>
  <c r="I396" i="10"/>
  <c r="I382" i="10"/>
  <c r="I375" i="10"/>
  <c r="I361" i="10"/>
  <c r="I354" i="10"/>
  <c r="I347" i="10"/>
  <c r="I340" i="10"/>
  <c r="I333" i="10"/>
  <c r="I326" i="10"/>
  <c r="I319" i="10"/>
  <c r="I312" i="10"/>
  <c r="I305" i="10"/>
  <c r="I298" i="10"/>
  <c r="I291" i="10"/>
  <c r="I284" i="10"/>
  <c r="I270" i="10"/>
  <c r="I263" i="10"/>
  <c r="I256" i="10"/>
  <c r="I249" i="10"/>
  <c r="I242" i="10"/>
  <c r="I235" i="10"/>
  <c r="I228" i="10"/>
  <c r="I214" i="10"/>
  <c r="I207" i="10"/>
  <c r="I200" i="10"/>
  <c r="I193" i="10"/>
  <c r="I186" i="10"/>
  <c r="I179" i="10"/>
  <c r="I172" i="10"/>
  <c r="I165" i="10"/>
  <c r="I158" i="10"/>
  <c r="I144" i="10"/>
  <c r="I137" i="10"/>
  <c r="I130" i="10"/>
  <c r="I123" i="10"/>
  <c r="I116" i="10"/>
  <c r="I109" i="10"/>
  <c r="I102" i="10"/>
  <c r="I95" i="10"/>
  <c r="I88" i="10"/>
  <c r="I74" i="10"/>
  <c r="I67" i="10"/>
  <c r="I60" i="10"/>
  <c r="I53" i="10"/>
  <c r="I46" i="10"/>
  <c r="I39" i="10"/>
  <c r="I32" i="10"/>
  <c r="I25" i="10"/>
  <c r="O7" i="12"/>
  <c r="S7" i="12"/>
  <c r="P7" i="12"/>
  <c r="S6" i="12"/>
  <c r="P6" i="12"/>
  <c r="O6" i="12"/>
  <c r="R8" i="12"/>
  <c r="S8" i="12"/>
  <c r="O8" i="12"/>
  <c r="P8" i="12"/>
  <c r="Q8" i="12"/>
  <c r="R9" i="12"/>
  <c r="R6" i="12"/>
  <c r="Q9" i="12"/>
  <c r="R7" i="12"/>
  <c r="P9" i="12"/>
  <c r="O9" i="12"/>
  <c r="H18" i="10"/>
  <c r="J13" i="10"/>
  <c r="B11" i="10"/>
  <c r="A13" i="10"/>
  <c r="B20" i="10"/>
  <c r="B13" i="10"/>
  <c r="H32" i="10"/>
  <c r="H60" i="10"/>
  <c r="H88" i="10"/>
  <c r="D204" i="11"/>
  <c r="K1" i="10" s="1"/>
  <c r="A111" i="10"/>
  <c r="B111" i="10"/>
  <c r="H116" i="10"/>
  <c r="J111" i="10"/>
  <c r="J804" i="10"/>
  <c r="H809" i="10"/>
  <c r="B804" i="10"/>
  <c r="A804" i="10"/>
  <c r="J797" i="10"/>
  <c r="H802" i="10"/>
  <c r="B797" i="10"/>
  <c r="A797" i="10"/>
  <c r="J790" i="10"/>
  <c r="H795" i="10"/>
  <c r="B790" i="10"/>
  <c r="A790" i="10"/>
  <c r="J783" i="10"/>
  <c r="H788" i="10"/>
  <c r="B783" i="10"/>
  <c r="A783" i="10"/>
  <c r="J776" i="10"/>
  <c r="H781" i="10"/>
  <c r="B776" i="10"/>
  <c r="A776" i="10"/>
  <c r="J769" i="10"/>
  <c r="H774" i="10"/>
  <c r="B769" i="10"/>
  <c r="A769" i="10"/>
  <c r="J762" i="10"/>
  <c r="H767" i="10"/>
  <c r="B762" i="10"/>
  <c r="A762" i="10"/>
  <c r="J755" i="10"/>
  <c r="H760" i="10"/>
  <c r="B755" i="10"/>
  <c r="A755" i="10"/>
  <c r="J748" i="10"/>
  <c r="H753" i="10"/>
  <c r="B748" i="10"/>
  <c r="A748" i="10"/>
  <c r="J741" i="10"/>
  <c r="H746" i="10"/>
  <c r="B741" i="10"/>
  <c r="A741" i="10"/>
  <c r="J734" i="10"/>
  <c r="H739" i="10"/>
  <c r="B734" i="10"/>
  <c r="A734" i="10"/>
  <c r="J727" i="10"/>
  <c r="H732" i="10"/>
  <c r="B727" i="10"/>
  <c r="A727" i="10"/>
  <c r="J720" i="10"/>
  <c r="H725" i="10"/>
  <c r="B720" i="10"/>
  <c r="A720" i="10"/>
  <c r="J713" i="10"/>
  <c r="H718" i="10"/>
  <c r="B713" i="10"/>
  <c r="A713" i="10"/>
  <c r="J706" i="10"/>
  <c r="H711" i="10"/>
  <c r="B706" i="10"/>
  <c r="A706" i="10"/>
  <c r="J699" i="10"/>
  <c r="H704" i="10"/>
  <c r="B699" i="10"/>
  <c r="A699" i="10"/>
  <c r="J692" i="10"/>
  <c r="H697" i="10"/>
  <c r="B692" i="10"/>
  <c r="A692" i="10"/>
  <c r="J685" i="10"/>
  <c r="H690" i="10"/>
  <c r="B685" i="10"/>
  <c r="A685" i="10"/>
  <c r="J678" i="10"/>
  <c r="H683" i="10"/>
  <c r="B678" i="10"/>
  <c r="A678" i="10"/>
  <c r="J671" i="10"/>
  <c r="H676" i="10"/>
  <c r="B671" i="10"/>
  <c r="A671" i="10"/>
  <c r="J664" i="10"/>
  <c r="H669" i="10"/>
  <c r="B664" i="10"/>
  <c r="A664" i="10"/>
  <c r="J657" i="10"/>
  <c r="H662" i="10"/>
  <c r="B657" i="10"/>
  <c r="A657" i="10"/>
  <c r="J650" i="10"/>
  <c r="H655" i="10"/>
  <c r="B650" i="10"/>
  <c r="A650" i="10"/>
  <c r="J643" i="10"/>
  <c r="H648" i="10"/>
  <c r="B643" i="10"/>
  <c r="A643" i="10"/>
  <c r="J636" i="10"/>
  <c r="H641" i="10"/>
  <c r="B636" i="10"/>
  <c r="A636" i="10"/>
  <c r="J629" i="10"/>
  <c r="H634" i="10"/>
  <c r="B629" i="10"/>
  <c r="A629" i="10"/>
  <c r="J622" i="10"/>
  <c r="H627" i="10"/>
  <c r="B622" i="10"/>
  <c r="A622" i="10"/>
  <c r="J615" i="10"/>
  <c r="H620" i="10"/>
  <c r="B615" i="10"/>
  <c r="A615" i="10"/>
  <c r="J608" i="10"/>
  <c r="H613" i="10"/>
  <c r="B608" i="10"/>
  <c r="A608" i="10"/>
  <c r="J601" i="10"/>
  <c r="H606" i="10"/>
  <c r="B601" i="10"/>
  <c r="A601" i="10"/>
  <c r="J594" i="10"/>
  <c r="H599" i="10"/>
  <c r="B594" i="10"/>
  <c r="A594" i="10"/>
  <c r="J587" i="10"/>
  <c r="H592" i="10"/>
  <c r="B587" i="10"/>
  <c r="A587" i="10"/>
  <c r="J580" i="10"/>
  <c r="H585" i="10"/>
  <c r="B580" i="10"/>
  <c r="A580" i="10"/>
  <c r="J573" i="10"/>
  <c r="H578" i="10"/>
  <c r="B573" i="10"/>
  <c r="A573" i="10"/>
  <c r="J566" i="10"/>
  <c r="H571" i="10"/>
  <c r="B566" i="10"/>
  <c r="A566" i="10"/>
  <c r="J559" i="10"/>
  <c r="H564" i="10"/>
  <c r="B559" i="10"/>
  <c r="A559" i="10"/>
  <c r="J552" i="10"/>
  <c r="H557" i="10"/>
  <c r="B552" i="10"/>
  <c r="A552" i="10"/>
  <c r="J545" i="10"/>
  <c r="H550" i="10"/>
  <c r="B545" i="10"/>
  <c r="A545" i="10"/>
  <c r="J538" i="10"/>
  <c r="H543" i="10"/>
  <c r="B538" i="10"/>
  <c r="A538" i="10"/>
  <c r="J531" i="10"/>
  <c r="H536" i="10"/>
  <c r="B531" i="10"/>
  <c r="A531" i="10"/>
  <c r="J524" i="10"/>
  <c r="H529" i="10"/>
  <c r="B524" i="10"/>
  <c r="A524" i="10"/>
  <c r="J517" i="10"/>
  <c r="H522" i="10"/>
  <c r="B517" i="10"/>
  <c r="A517" i="10"/>
  <c r="J510" i="10"/>
  <c r="H515" i="10"/>
  <c r="B510" i="10"/>
  <c r="A510" i="10"/>
  <c r="J503" i="10"/>
  <c r="H508" i="10"/>
  <c r="B503" i="10"/>
  <c r="A503" i="10"/>
  <c r="J496" i="10"/>
  <c r="H501" i="10"/>
  <c r="B496" i="10"/>
  <c r="A496" i="10"/>
  <c r="J489" i="10"/>
  <c r="H494" i="10"/>
  <c r="B489" i="10"/>
  <c r="A489" i="10"/>
  <c r="J482" i="10"/>
  <c r="H487" i="10"/>
  <c r="B482" i="10"/>
  <c r="A482" i="10"/>
  <c r="J475" i="10"/>
  <c r="H480" i="10"/>
  <c r="B475" i="10"/>
  <c r="A475" i="10"/>
  <c r="J468" i="10"/>
  <c r="H473" i="10"/>
  <c r="B468" i="10"/>
  <c r="A468" i="10"/>
  <c r="J461" i="10"/>
  <c r="H466" i="10"/>
  <c r="B461" i="10"/>
  <c r="A461" i="10"/>
  <c r="J454" i="10"/>
  <c r="H459" i="10"/>
  <c r="B454" i="10"/>
  <c r="A454" i="10"/>
  <c r="J447" i="10"/>
  <c r="H452" i="10"/>
  <c r="B447" i="10"/>
  <c r="A447" i="10"/>
  <c r="J440" i="10"/>
  <c r="H445" i="10"/>
  <c r="B440" i="10"/>
  <c r="A440" i="10"/>
  <c r="J433" i="10"/>
  <c r="H438" i="10"/>
  <c r="B433" i="10"/>
  <c r="A433" i="10"/>
  <c r="J426" i="10"/>
  <c r="H431" i="10"/>
  <c r="B426" i="10"/>
  <c r="A426" i="10"/>
  <c r="J419" i="10"/>
  <c r="H424" i="10"/>
  <c r="B419" i="10"/>
  <c r="A419" i="10"/>
  <c r="J412" i="10"/>
  <c r="H417" i="10"/>
  <c r="B412" i="10"/>
  <c r="A412" i="10"/>
  <c r="J405" i="10"/>
  <c r="H410" i="10"/>
  <c r="B405" i="10"/>
  <c r="A405" i="10"/>
  <c r="J398" i="10"/>
  <c r="H403" i="10"/>
  <c r="B398" i="10"/>
  <c r="A398" i="10"/>
  <c r="J391" i="10"/>
  <c r="H396" i="10"/>
  <c r="B391" i="10"/>
  <c r="A391" i="10"/>
  <c r="J384" i="10"/>
  <c r="H389" i="10"/>
  <c r="B384" i="10"/>
  <c r="A384" i="10"/>
  <c r="J377" i="10"/>
  <c r="H382" i="10"/>
  <c r="B377" i="10"/>
  <c r="A377" i="10"/>
  <c r="J370" i="10"/>
  <c r="H375" i="10"/>
  <c r="B370" i="10"/>
  <c r="A370" i="10"/>
  <c r="J363" i="10"/>
  <c r="K363" i="10" s="1"/>
  <c r="H368" i="10"/>
  <c r="B363" i="10"/>
  <c r="A363" i="10"/>
  <c r="J356" i="10"/>
  <c r="H361" i="10"/>
  <c r="B356" i="10"/>
  <c r="A356" i="10"/>
  <c r="J349" i="10"/>
  <c r="H354" i="10"/>
  <c r="B349" i="10"/>
  <c r="A349" i="10"/>
  <c r="J342" i="10"/>
  <c r="H347" i="10"/>
  <c r="B342" i="10"/>
  <c r="A342" i="10"/>
  <c r="J335" i="10"/>
  <c r="H340" i="10"/>
  <c r="B335" i="10"/>
  <c r="A335" i="10"/>
  <c r="J328" i="10"/>
  <c r="H333" i="10"/>
  <c r="B328" i="10"/>
  <c r="A328" i="10"/>
  <c r="J321" i="10"/>
  <c r="H326" i="10"/>
  <c r="B321" i="10"/>
  <c r="A321" i="10"/>
  <c r="J314" i="10"/>
  <c r="H319" i="10"/>
  <c r="B314" i="10"/>
  <c r="A314" i="10"/>
  <c r="J307" i="10"/>
  <c r="H312" i="10"/>
  <c r="B307" i="10"/>
  <c r="A307" i="10"/>
  <c r="J300" i="10"/>
  <c r="H305" i="10"/>
  <c r="B300" i="10"/>
  <c r="A300" i="10"/>
  <c r="J293" i="10"/>
  <c r="H298" i="10"/>
  <c r="B293" i="10"/>
  <c r="A293" i="10"/>
  <c r="J286" i="10"/>
  <c r="H291" i="10"/>
  <c r="B286" i="10"/>
  <c r="A286" i="10"/>
  <c r="J279" i="10"/>
  <c r="H284" i="10"/>
  <c r="B279" i="10"/>
  <c r="A279" i="10"/>
  <c r="J272" i="10"/>
  <c r="H277" i="10"/>
  <c r="B272" i="10"/>
  <c r="A272" i="10"/>
  <c r="J265" i="10"/>
  <c r="H270" i="10"/>
  <c r="B265" i="10"/>
  <c r="A265" i="10"/>
  <c r="J258" i="10"/>
  <c r="H263" i="10"/>
  <c r="B258" i="10"/>
  <c r="A258" i="10"/>
  <c r="J251" i="10"/>
  <c r="H256" i="10"/>
  <c r="B251" i="10"/>
  <c r="A251" i="10"/>
  <c r="J244" i="10"/>
  <c r="H249" i="10"/>
  <c r="B244" i="10"/>
  <c r="A244" i="10"/>
  <c r="J237" i="10"/>
  <c r="H242" i="10"/>
  <c r="B237" i="10"/>
  <c r="A237" i="10"/>
  <c r="J230" i="10"/>
  <c r="H235" i="10"/>
  <c r="B230" i="10"/>
  <c r="A230" i="10"/>
  <c r="J223" i="10"/>
  <c r="H228" i="10"/>
  <c r="B223" i="10"/>
  <c r="A223" i="10"/>
  <c r="J216" i="10"/>
  <c r="H221" i="10"/>
  <c r="B216" i="10"/>
  <c r="A216" i="10"/>
  <c r="J209" i="10"/>
  <c r="H214" i="10"/>
  <c r="B209" i="10"/>
  <c r="A209" i="10"/>
  <c r="J202" i="10"/>
  <c r="H207" i="10"/>
  <c r="B202" i="10"/>
  <c r="A202" i="10"/>
  <c r="J195" i="10"/>
  <c r="H200" i="10"/>
  <c r="B195" i="10"/>
  <c r="A195" i="10"/>
  <c r="J188" i="10"/>
  <c r="H193" i="10"/>
  <c r="B188" i="10"/>
  <c r="A188" i="10"/>
  <c r="J181" i="10"/>
  <c r="H186" i="10"/>
  <c r="B181" i="10"/>
  <c r="A181" i="10"/>
  <c r="J174" i="10"/>
  <c r="H179" i="10"/>
  <c r="B174" i="10"/>
  <c r="A174" i="10"/>
  <c r="J167" i="10"/>
  <c r="H172" i="10"/>
  <c r="B167" i="10"/>
  <c r="A167" i="10"/>
  <c r="J160" i="10"/>
  <c r="H165" i="10"/>
  <c r="B160" i="10"/>
  <c r="A160" i="10"/>
  <c r="J153" i="10"/>
  <c r="H158" i="10"/>
  <c r="B153" i="10"/>
  <c r="A153" i="10"/>
  <c r="J146" i="10"/>
  <c r="K146" i="10" s="1"/>
  <c r="H151" i="10"/>
  <c r="B146" i="10"/>
  <c r="A146" i="10"/>
  <c r="J139" i="10"/>
  <c r="H144" i="10"/>
  <c r="B139" i="10"/>
  <c r="A139" i="10"/>
  <c r="J132" i="10"/>
  <c r="H137" i="10"/>
  <c r="B132" i="10"/>
  <c r="A132" i="10"/>
  <c r="J125" i="10"/>
  <c r="H130" i="10"/>
  <c r="B125" i="10"/>
  <c r="A125" i="10"/>
  <c r="J118" i="10"/>
  <c r="H123" i="10"/>
  <c r="B118" i="10"/>
  <c r="A118" i="10"/>
  <c r="J104" i="10"/>
  <c r="H109" i="10"/>
  <c r="B104" i="10"/>
  <c r="A104" i="10"/>
  <c r="J97" i="10"/>
  <c r="H102" i="10"/>
  <c r="B97" i="10"/>
  <c r="A97" i="10"/>
  <c r="J90" i="10"/>
  <c r="H95" i="10"/>
  <c r="B90" i="10"/>
  <c r="A90" i="10"/>
  <c r="J83" i="10"/>
  <c r="B83" i="10"/>
  <c r="A83" i="10"/>
  <c r="J76" i="10"/>
  <c r="H81" i="10"/>
  <c r="B76" i="10"/>
  <c r="A76" i="10"/>
  <c r="J69" i="10"/>
  <c r="H74" i="10"/>
  <c r="B69" i="10"/>
  <c r="A69" i="10"/>
  <c r="J62" i="10"/>
  <c r="H67" i="10"/>
  <c r="B62" i="10"/>
  <c r="A62" i="10"/>
  <c r="J55" i="10"/>
  <c r="B55" i="10"/>
  <c r="A55" i="10"/>
  <c r="J48" i="10"/>
  <c r="H53" i="10"/>
  <c r="B48" i="10"/>
  <c r="A48" i="10"/>
  <c r="J41" i="10"/>
  <c r="H46" i="10"/>
  <c r="B41" i="10"/>
  <c r="A41" i="10"/>
  <c r="J34" i="10"/>
  <c r="H39" i="10"/>
  <c r="B34" i="10"/>
  <c r="A34" i="10"/>
  <c r="J27" i="10"/>
  <c r="B27" i="10"/>
  <c r="A27" i="10"/>
  <c r="J20" i="10"/>
  <c r="H25" i="10"/>
  <c r="A20" i="10"/>
  <c r="K713" i="10" l="1"/>
  <c r="Q6" i="12"/>
  <c r="K678" i="10"/>
  <c r="K692" i="10"/>
  <c r="K559" i="10"/>
  <c r="K657" i="10"/>
  <c r="K671" i="10"/>
  <c r="K685" i="10"/>
  <c r="K608" i="10"/>
  <c r="K587" i="10"/>
  <c r="K622" i="10"/>
  <c r="K636" i="10"/>
  <c r="K650" i="10"/>
  <c r="K566" i="10"/>
  <c r="K615" i="10"/>
  <c r="K664" i="10"/>
  <c r="K706" i="10"/>
  <c r="K580" i="10"/>
  <c r="K594" i="10"/>
  <c r="K342" i="10"/>
  <c r="K370" i="10"/>
  <c r="K496" i="10"/>
  <c r="K524" i="10"/>
  <c r="K503" i="10"/>
  <c r="K321" i="10"/>
  <c r="K405" i="10"/>
  <c r="K433" i="10"/>
  <c r="K475" i="10"/>
  <c r="K531" i="10"/>
  <c r="K279" i="10"/>
  <c r="K335" i="10"/>
  <c r="K391" i="10"/>
  <c r="K419" i="10"/>
  <c r="K461" i="10"/>
  <c r="K489" i="10"/>
  <c r="K517" i="10"/>
  <c r="K545" i="10"/>
  <c r="K349" i="10"/>
  <c r="K377" i="10"/>
  <c r="K356" i="10"/>
  <c r="K76" i="10"/>
  <c r="K293" i="10"/>
  <c r="K384" i="10"/>
  <c r="K104" i="10"/>
  <c r="K300" i="10"/>
  <c r="K314" i="10"/>
  <c r="K286" i="10"/>
  <c r="K139" i="10"/>
  <c r="K251" i="10"/>
  <c r="K272" i="10"/>
  <c r="K41" i="10"/>
  <c r="K69" i="10"/>
  <c r="K209" i="10"/>
  <c r="K244" i="10"/>
  <c r="K230" i="10"/>
  <c r="K258" i="10"/>
  <c r="K237" i="10"/>
  <c r="K188" i="10"/>
  <c r="K216" i="10"/>
  <c r="K195" i="10"/>
  <c r="K223" i="10"/>
  <c r="K174" i="10"/>
  <c r="K167" i="10"/>
  <c r="K160" i="10"/>
  <c r="K132" i="10"/>
  <c r="K125" i="10"/>
  <c r="K97" i="10"/>
  <c r="K111" i="10"/>
  <c r="K118" i="10"/>
  <c r="K62" i="10"/>
  <c r="K90" i="10"/>
  <c r="K83" i="10"/>
  <c r="K55" i="10"/>
  <c r="K48" i="10"/>
  <c r="K20" i="10"/>
  <c r="K27" i="10"/>
  <c r="K13" i="10"/>
  <c r="K153" i="10"/>
  <c r="K181" i="10"/>
  <c r="K265" i="10"/>
  <c r="K720" i="10"/>
  <c r="K748" i="10"/>
  <c r="K776" i="10"/>
  <c r="K804" i="10"/>
  <c r="K34" i="10"/>
  <c r="K202" i="10"/>
  <c r="K398" i="10"/>
  <c r="K454" i="10"/>
  <c r="K482" i="10"/>
  <c r="K629" i="10"/>
  <c r="K741" i="10"/>
  <c r="K769" i="10"/>
  <c r="K797" i="10"/>
  <c r="K426" i="10"/>
  <c r="K510" i="10"/>
  <c r="K538" i="10"/>
  <c r="K601" i="10"/>
  <c r="K307" i="10"/>
  <c r="K447" i="10"/>
  <c r="K734" i="10"/>
  <c r="K762" i="10"/>
  <c r="K790" i="10"/>
  <c r="K573" i="10"/>
  <c r="K328" i="10"/>
  <c r="K412" i="10"/>
  <c r="K440" i="10"/>
  <c r="K468" i="10"/>
  <c r="K552" i="10"/>
  <c r="K643" i="10"/>
  <c r="K699" i="10"/>
  <c r="K727" i="10"/>
  <c r="K755" i="10"/>
  <c r="K783" i="10"/>
  <c r="K2" i="10"/>
  <c r="K4" i="10" s="1"/>
</calcChain>
</file>

<file path=xl/sharedStrings.xml><?xml version="1.0" encoding="utf-8"?>
<sst xmlns="http://schemas.openxmlformats.org/spreadsheetml/2006/main" count="1634" uniqueCount="597">
  <si>
    <t>TOTAL</t>
  </si>
  <si>
    <t>ELEMENTO</t>
  </si>
  <si>
    <t>ALTURA</t>
  </si>
  <si>
    <t>LARG.</t>
  </si>
  <si>
    <t>COMP.</t>
  </si>
  <si>
    <t>QTD</t>
  </si>
  <si>
    <t>MEMÓRIA DE CÁLCULO - LEVANTAMENTO DE QUANTITATIVOS</t>
  </si>
  <si>
    <t>001</t>
  </si>
  <si>
    <t>001-001</t>
  </si>
  <si>
    <t>SOMA MASTER</t>
  </si>
  <si>
    <t>SOMA MEMO C.</t>
  </si>
  <si>
    <t>ÁREA</t>
  </si>
  <si>
    <t>F</t>
  </si>
  <si>
    <t>CODIGO 115</t>
  </si>
  <si>
    <t>DESCRIÇÃO 115</t>
  </si>
  <si>
    <t>QUANT 115</t>
  </si>
  <si>
    <t>CODIGO 116</t>
  </si>
  <si>
    <t>DESCRIÇÃO 116</t>
  </si>
  <si>
    <t>QUANT 116</t>
  </si>
  <si>
    <t>CODIGO 117</t>
  </si>
  <si>
    <t>DESCRIÇÃO 117</t>
  </si>
  <si>
    <t>QUANT 117</t>
  </si>
  <si>
    <t>CODIGO 118</t>
  </si>
  <si>
    <t>DESCRIÇÃO 118</t>
  </si>
  <si>
    <t>QUANT 118</t>
  </si>
  <si>
    <t>CODIGO 119</t>
  </si>
  <si>
    <t>DESCRIÇÃO 119</t>
  </si>
  <si>
    <t>QUANT 119</t>
  </si>
  <si>
    <t>CODIGO 120</t>
  </si>
  <si>
    <t>DESCRIÇÃO 120</t>
  </si>
  <si>
    <t>QUANT 120</t>
  </si>
  <si>
    <t>CODIGO 121</t>
  </si>
  <si>
    <t>DESCRIÇÃO 121</t>
  </si>
  <si>
    <t>QUANT 121</t>
  </si>
  <si>
    <t>CODIGO 122</t>
  </si>
  <si>
    <t>DESCRIÇÃO 122</t>
  </si>
  <si>
    <t>QUANT 122</t>
  </si>
  <si>
    <t>CODIGO 123</t>
  </si>
  <si>
    <t>DESCRIÇÃO 123</t>
  </si>
  <si>
    <t>QUANT 123</t>
  </si>
  <si>
    <t>CODIGO 124</t>
  </si>
  <si>
    <t>DESCRIÇÃO 124</t>
  </si>
  <si>
    <t>QUANT 124</t>
  </si>
  <si>
    <t>CODIGO 125</t>
  </si>
  <si>
    <t>DESCRIÇÃO 125</t>
  </si>
  <si>
    <t>QUANT 125</t>
  </si>
  <si>
    <t>CODIGO 126</t>
  </si>
  <si>
    <t>DESCRIÇÃO 126</t>
  </si>
  <si>
    <t>QUANT 126</t>
  </si>
  <si>
    <t>CODIGO 127</t>
  </si>
  <si>
    <t>DESCRIÇÃO 127</t>
  </si>
  <si>
    <t>QUANT 127</t>
  </si>
  <si>
    <t>CODIGO 128</t>
  </si>
  <si>
    <t>DESCRIÇÃO 128</t>
  </si>
  <si>
    <t>QUANT 128</t>
  </si>
  <si>
    <t>CODIGO 129</t>
  </si>
  <si>
    <t>DESCRIÇÃO 129</t>
  </si>
  <si>
    <t>QUANT 129</t>
  </si>
  <si>
    <t>CODIGO 130</t>
  </si>
  <si>
    <t>DESCRIÇÃO 130</t>
  </si>
  <si>
    <t>QUANT 130</t>
  </si>
  <si>
    <t>CODIGO 131</t>
  </si>
  <si>
    <t>DESCRIÇÃO 131</t>
  </si>
  <si>
    <t>QUANT 131</t>
  </si>
  <si>
    <t>CODIGO 132</t>
  </si>
  <si>
    <t>DESCRIÇÃO 132</t>
  </si>
  <si>
    <t>QUANT 132</t>
  </si>
  <si>
    <t>CODIGO 133</t>
  </si>
  <si>
    <t>DESCRIÇÃO 133</t>
  </si>
  <si>
    <t>QUANT 133</t>
  </si>
  <si>
    <t>CODIGO 134</t>
  </si>
  <si>
    <t>DESCRIÇÃO 134</t>
  </si>
  <si>
    <t>QUANT 134</t>
  </si>
  <si>
    <t>CODIGO 135</t>
  </si>
  <si>
    <t>DESCRIÇÃO 135</t>
  </si>
  <si>
    <t>QUANT 135</t>
  </si>
  <si>
    <t>CODIGO 136</t>
  </si>
  <si>
    <t>DESCRIÇÃO 136</t>
  </si>
  <si>
    <t>QUANT 136</t>
  </si>
  <si>
    <t>CODIGO 137</t>
  </si>
  <si>
    <t>DESCRIÇÃO 137</t>
  </si>
  <si>
    <t>QUANT 137</t>
  </si>
  <si>
    <t>CODIGO 138</t>
  </si>
  <si>
    <t>DESCRIÇÃO 138</t>
  </si>
  <si>
    <t>QUANT 138</t>
  </si>
  <si>
    <t>CODIGO 139</t>
  </si>
  <si>
    <t>DESCRIÇÃO 139</t>
  </si>
  <si>
    <t>QUANT 139</t>
  </si>
  <si>
    <t>CODIGO 140</t>
  </si>
  <si>
    <t>DESCRIÇÃO 140</t>
  </si>
  <si>
    <t>QUANT 140</t>
  </si>
  <si>
    <t>CODIGO 141</t>
  </si>
  <si>
    <t>DESCRIÇÃO 141</t>
  </si>
  <si>
    <t>QUANT 141</t>
  </si>
  <si>
    <t>CODIGO 142</t>
  </si>
  <si>
    <t>DESCRIÇÃO 142</t>
  </si>
  <si>
    <t>QUANT 142</t>
  </si>
  <si>
    <t>CODIGO 143</t>
  </si>
  <si>
    <t>DESCRIÇÃO 143</t>
  </si>
  <si>
    <t>QUANT 143</t>
  </si>
  <si>
    <t>CODIGO 144</t>
  </si>
  <si>
    <t>DESCRIÇÃO 144</t>
  </si>
  <si>
    <t>QUANT 144</t>
  </si>
  <si>
    <t>CODIGO 145</t>
  </si>
  <si>
    <t>DESCRIÇÃO 145</t>
  </si>
  <si>
    <t>QUANT 145</t>
  </si>
  <si>
    <t>CODIGO 146</t>
  </si>
  <si>
    <t>DESCRIÇÃO 146</t>
  </si>
  <si>
    <t>QUANT 146</t>
  </si>
  <si>
    <t>CODIGO 147</t>
  </si>
  <si>
    <t>DESCRIÇÃO 147</t>
  </si>
  <si>
    <t>QUANT 147</t>
  </si>
  <si>
    <t>CODIGO 148</t>
  </si>
  <si>
    <t>DESCRIÇÃO 148</t>
  </si>
  <si>
    <t>QUANT 148</t>
  </si>
  <si>
    <t>CODIGO 149</t>
  </si>
  <si>
    <t>DESCRIÇÃO 149</t>
  </si>
  <si>
    <t>QUANT 149</t>
  </si>
  <si>
    <t>CODIGO 150</t>
  </si>
  <si>
    <t>DESCRIÇÃO 150</t>
  </si>
  <si>
    <t>QUANT 150</t>
  </si>
  <si>
    <t>CODIGO 151</t>
  </si>
  <si>
    <t>DESCRIÇÃO 151</t>
  </si>
  <si>
    <t>QUANT 151</t>
  </si>
  <si>
    <t>CODIGO 152</t>
  </si>
  <si>
    <t>DESCRIÇÃO 152</t>
  </si>
  <si>
    <t>QUANT 152</t>
  </si>
  <si>
    <t>CODIGO 153</t>
  </si>
  <si>
    <t>DESCRIÇÃO 153</t>
  </si>
  <si>
    <t>QUANT 153</t>
  </si>
  <si>
    <t>CODIGO 154</t>
  </si>
  <si>
    <t>DESCRIÇÃO 154</t>
  </si>
  <si>
    <t>QUANT 154</t>
  </si>
  <si>
    <t>CODIGO 155</t>
  </si>
  <si>
    <t>DESCRIÇÃO 155</t>
  </si>
  <si>
    <t>QUANT 155</t>
  </si>
  <si>
    <t>CODIGO 156</t>
  </si>
  <si>
    <t>DESCRIÇÃO 156</t>
  </si>
  <si>
    <t>QUANT 156</t>
  </si>
  <si>
    <t>CODIGO 157</t>
  </si>
  <si>
    <t>DESCRIÇÃO 157</t>
  </si>
  <si>
    <t>QUANT 157</t>
  </si>
  <si>
    <t>CODIGO 158</t>
  </si>
  <si>
    <t>DESCRIÇÃO 158</t>
  </si>
  <si>
    <t>QUANT 158</t>
  </si>
  <si>
    <t>CODIGO 159</t>
  </si>
  <si>
    <t>DESCRIÇÃO 159</t>
  </si>
  <si>
    <t>QUANT 159</t>
  </si>
  <si>
    <t>CODIGO 160</t>
  </si>
  <si>
    <t>DESCRIÇÃO 160</t>
  </si>
  <si>
    <t>QUANT 160</t>
  </si>
  <si>
    <t>CODIGO 161</t>
  </si>
  <si>
    <t>DESCRIÇÃO 161</t>
  </si>
  <si>
    <t>QUANT 161</t>
  </si>
  <si>
    <t>CODIGO 162</t>
  </si>
  <si>
    <t>DESCRIÇÃO 162</t>
  </si>
  <si>
    <t>QUANT 162</t>
  </si>
  <si>
    <t>CODIGO 163</t>
  </si>
  <si>
    <t>DESCRIÇÃO 163</t>
  </si>
  <si>
    <t>QUANT 163</t>
  </si>
  <si>
    <t>CODIGO 164</t>
  </si>
  <si>
    <t>DESCRIÇÃO 164</t>
  </si>
  <si>
    <t>QUANT 164</t>
  </si>
  <si>
    <t>CODIGO 165</t>
  </si>
  <si>
    <t>DESCRIÇÃO 165</t>
  </si>
  <si>
    <t>QUANT 165</t>
  </si>
  <si>
    <t>CODIGO 166</t>
  </si>
  <si>
    <t>DESCRIÇÃO 166</t>
  </si>
  <si>
    <t>QUANT 166</t>
  </si>
  <si>
    <t>CODIGO 167</t>
  </si>
  <si>
    <t>DESCRIÇÃO 167</t>
  </si>
  <si>
    <t>QUANT 167</t>
  </si>
  <si>
    <t>CODIGO 168</t>
  </si>
  <si>
    <t>DESCRIÇÃO 168</t>
  </si>
  <si>
    <t>QUANT 168</t>
  </si>
  <si>
    <t>CODIGO 169</t>
  </si>
  <si>
    <t>DESCRIÇÃO 169</t>
  </si>
  <si>
    <t>QUANT 169</t>
  </si>
  <si>
    <t>CODIGO 170</t>
  </si>
  <si>
    <t>DESCRIÇÃO 170</t>
  </si>
  <si>
    <t>QUANT 170</t>
  </si>
  <si>
    <t>CODIGO 171</t>
  </si>
  <si>
    <t>DESCRIÇÃO 171</t>
  </si>
  <si>
    <t>QUANT 171</t>
  </si>
  <si>
    <t>CODIGO 172</t>
  </si>
  <si>
    <t>DESCRIÇÃO 172</t>
  </si>
  <si>
    <t>QUANT 172</t>
  </si>
  <si>
    <t>CODIGO 173</t>
  </si>
  <si>
    <t>DESCRIÇÃO 173</t>
  </si>
  <si>
    <t>QUANT 173</t>
  </si>
  <si>
    <t>CODIGO 174</t>
  </si>
  <si>
    <t>DESCRIÇÃO 174</t>
  </si>
  <si>
    <t>QUANT 174</t>
  </si>
  <si>
    <t>CODIGO 175</t>
  </si>
  <si>
    <t>DESCRIÇÃO 175</t>
  </si>
  <si>
    <t>QUANT 175</t>
  </si>
  <si>
    <t>CODIGO 176</t>
  </si>
  <si>
    <t>DESCRIÇÃO 176</t>
  </si>
  <si>
    <t>QUANT 176</t>
  </si>
  <si>
    <t>CODIGO 177</t>
  </si>
  <si>
    <t>DESCRIÇÃO 177</t>
  </si>
  <si>
    <t>QUANT 177</t>
  </si>
  <si>
    <t>CODIGO 178</t>
  </si>
  <si>
    <t>DESCRIÇÃO 178</t>
  </si>
  <si>
    <t>QUANT 178</t>
  </si>
  <si>
    <t>CODIGO 179</t>
  </si>
  <si>
    <t>DESCRIÇÃO 179</t>
  </si>
  <si>
    <t>QUANT 179</t>
  </si>
  <si>
    <t>CODIGO 180</t>
  </si>
  <si>
    <t>DESCRIÇÃO 180</t>
  </si>
  <si>
    <t>QUANT 180</t>
  </si>
  <si>
    <t>CODIGO 181</t>
  </si>
  <si>
    <t>DESCRIÇÃO 181</t>
  </si>
  <si>
    <t>QUANT 181</t>
  </si>
  <si>
    <t>CODIGO 182</t>
  </si>
  <si>
    <t>DESCRIÇÃO 182</t>
  </si>
  <si>
    <t>QUANT 182</t>
  </si>
  <si>
    <t>CODIGO 183</t>
  </si>
  <si>
    <t>DESCRIÇÃO 183</t>
  </si>
  <si>
    <t>QUANT 183</t>
  </si>
  <si>
    <t>CODIGO 184</t>
  </si>
  <si>
    <t>DESCRIÇÃO 184</t>
  </si>
  <si>
    <t>QUANT 184</t>
  </si>
  <si>
    <t>CODIGO 185</t>
  </si>
  <si>
    <t>DESCRIÇÃO 185</t>
  </si>
  <si>
    <t>QUANT 185</t>
  </si>
  <si>
    <t>CODIGO 186</t>
  </si>
  <si>
    <t>DESCRIÇÃO 186</t>
  </si>
  <si>
    <t>QUANT 186</t>
  </si>
  <si>
    <t>CODIGO 187</t>
  </si>
  <si>
    <t>DESCRIÇÃO 187</t>
  </si>
  <si>
    <t>QUANT 187</t>
  </si>
  <si>
    <t>CODIGO 188</t>
  </si>
  <si>
    <t>DESCRIÇÃO 188</t>
  </si>
  <si>
    <t>QUANT 188</t>
  </si>
  <si>
    <t>CODIGO 189</t>
  </si>
  <si>
    <t>DESCRIÇÃO 189</t>
  </si>
  <si>
    <t>QUANT 189</t>
  </si>
  <si>
    <t>CODIGO 190</t>
  </si>
  <si>
    <t>DESCRIÇÃO 190</t>
  </si>
  <si>
    <t>QUANT 190</t>
  </si>
  <si>
    <t>CODIGO 191</t>
  </si>
  <si>
    <t>DESCRIÇÃO 191</t>
  </si>
  <si>
    <t>QUANT 191</t>
  </si>
  <si>
    <t>CODIGO 192</t>
  </si>
  <si>
    <t>DESCRIÇÃO 192</t>
  </si>
  <si>
    <t>QUANT 192</t>
  </si>
  <si>
    <t>CODIGO 193</t>
  </si>
  <si>
    <t>DESCRIÇÃO 193</t>
  </si>
  <si>
    <t>QUANT 193</t>
  </si>
  <si>
    <t>CODIGO 194</t>
  </si>
  <si>
    <t>DESCRIÇÃO 194</t>
  </si>
  <si>
    <t>QUANT 194</t>
  </si>
  <si>
    <t>CODIGO 195</t>
  </si>
  <si>
    <t>DESCRIÇÃO 195</t>
  </si>
  <si>
    <t>QUANT 195</t>
  </si>
  <si>
    <t>CODIGO 196</t>
  </si>
  <si>
    <t>DESCRIÇÃO 196</t>
  </si>
  <si>
    <t>QUANT 196</t>
  </si>
  <si>
    <t>CODIGO 197</t>
  </si>
  <si>
    <t>DESCRIÇÃO 197</t>
  </si>
  <si>
    <t>QUANT 197</t>
  </si>
  <si>
    <t>CODIGO 198</t>
  </si>
  <si>
    <t>DESCRIÇÃO 198</t>
  </si>
  <si>
    <t>QUANT 198</t>
  </si>
  <si>
    <t>CODIGO 199</t>
  </si>
  <si>
    <t>DESCRIÇÃO 199</t>
  </si>
  <si>
    <t>QUANT 199</t>
  </si>
  <si>
    <t>CODIGO 200</t>
  </si>
  <si>
    <t>DESCRIÇÃO 200</t>
  </si>
  <si>
    <t>QUANT 200</t>
  </si>
  <si>
    <t>UND 115</t>
  </si>
  <si>
    <t>UND 116</t>
  </si>
  <si>
    <t>UND 117</t>
  </si>
  <si>
    <t>UND 118</t>
  </si>
  <si>
    <t>UND 119</t>
  </si>
  <si>
    <t>UND 120</t>
  </si>
  <si>
    <t>UND 121</t>
  </si>
  <si>
    <t>UND 122</t>
  </si>
  <si>
    <t>UND 123</t>
  </si>
  <si>
    <t>UND 124</t>
  </si>
  <si>
    <t>UND 125</t>
  </si>
  <si>
    <t>UND 126</t>
  </si>
  <si>
    <t>UND 127</t>
  </si>
  <si>
    <t>UND 128</t>
  </si>
  <si>
    <t>UND 129</t>
  </si>
  <si>
    <t>UND 130</t>
  </si>
  <si>
    <t>UND 131</t>
  </si>
  <si>
    <t>UND 132</t>
  </si>
  <si>
    <t>UND 133</t>
  </si>
  <si>
    <t>UND 134</t>
  </si>
  <si>
    <t>UND 135</t>
  </si>
  <si>
    <t>UND 136</t>
  </si>
  <si>
    <t>UND 137</t>
  </si>
  <si>
    <t>UND 138</t>
  </si>
  <si>
    <t>UND 139</t>
  </si>
  <si>
    <t>UND 140</t>
  </si>
  <si>
    <t>UND 141</t>
  </si>
  <si>
    <t>UND 142</t>
  </si>
  <si>
    <t>UND 143</t>
  </si>
  <si>
    <t>UND 144</t>
  </si>
  <si>
    <t>UND 145</t>
  </si>
  <si>
    <t>UND 146</t>
  </si>
  <si>
    <t>UND 147</t>
  </si>
  <si>
    <t>UND 148</t>
  </si>
  <si>
    <t>UND 149</t>
  </si>
  <si>
    <t>UND 150</t>
  </si>
  <si>
    <t>UND 151</t>
  </si>
  <si>
    <t>UND 152</t>
  </si>
  <si>
    <t>UND 153</t>
  </si>
  <si>
    <t>UND 154</t>
  </si>
  <si>
    <t>UND 155</t>
  </si>
  <si>
    <t>UND 156</t>
  </si>
  <si>
    <t>UND 157</t>
  </si>
  <si>
    <t>UND 158</t>
  </si>
  <si>
    <t>UND 159</t>
  </si>
  <si>
    <t>UND 160</t>
  </si>
  <si>
    <t>UND 161</t>
  </si>
  <si>
    <t>UND 162</t>
  </si>
  <si>
    <t>UND 163</t>
  </si>
  <si>
    <t>UND 164</t>
  </si>
  <si>
    <t>UND 165</t>
  </si>
  <si>
    <t>UND 166</t>
  </si>
  <si>
    <t>UND 167</t>
  </si>
  <si>
    <t>UND 168</t>
  </si>
  <si>
    <t>UND 169</t>
  </si>
  <si>
    <t>UND 170</t>
  </si>
  <si>
    <t>UND 171</t>
  </si>
  <si>
    <t>UND 172</t>
  </si>
  <si>
    <t>UND 173</t>
  </si>
  <si>
    <t>UND 174</t>
  </si>
  <si>
    <t>UND 175</t>
  </si>
  <si>
    <t>UND 176</t>
  </si>
  <si>
    <t>UND 177</t>
  </si>
  <si>
    <t>UND 178</t>
  </si>
  <si>
    <t>UND 179</t>
  </si>
  <si>
    <t>UND 180</t>
  </si>
  <si>
    <t>UND 181</t>
  </si>
  <si>
    <t>UND 182</t>
  </si>
  <si>
    <t>UND 183</t>
  </si>
  <si>
    <t>UND 184</t>
  </si>
  <si>
    <t>UND 185</t>
  </si>
  <si>
    <t>UND 186</t>
  </si>
  <si>
    <t>UND 187</t>
  </si>
  <si>
    <t>UND 188</t>
  </si>
  <si>
    <t>UND 189</t>
  </si>
  <si>
    <t>UND 190</t>
  </si>
  <si>
    <t>UND 191</t>
  </si>
  <si>
    <t>UND 192</t>
  </si>
  <si>
    <t>UND 193</t>
  </si>
  <si>
    <t>UND 194</t>
  </si>
  <si>
    <t>UND 195</t>
  </si>
  <si>
    <t>UND 196</t>
  </si>
  <si>
    <t>UND 197</t>
  </si>
  <si>
    <t>UND 198</t>
  </si>
  <si>
    <t>UND 199</t>
  </si>
  <si>
    <t>UND 200</t>
  </si>
  <si>
    <t>QUADRO DURAÇÃO - RECURSOS</t>
  </si>
  <si>
    <t>ATIVIDADE</t>
  </si>
  <si>
    <t>UNID</t>
  </si>
  <si>
    <t>QTDE</t>
  </si>
  <si>
    <t>EQUIPE BASICA</t>
  </si>
  <si>
    <t>INDICE DA EQUIPE</t>
  </si>
  <si>
    <t>JORNADA H/DIA</t>
  </si>
  <si>
    <t>DIAS DA EQUIPE BÁSICA</t>
  </si>
  <si>
    <t>DURAÇÃO ADOTADA (DIAS)</t>
  </si>
  <si>
    <t>QTDE DE EQUIPE</t>
  </si>
  <si>
    <t>PEDREIRO</t>
  </si>
  <si>
    <t>CARPINTEIRO</t>
  </si>
  <si>
    <t>ARMADOR</t>
  </si>
  <si>
    <t>AJUDANTE</t>
  </si>
  <si>
    <t>SERVENTE</t>
  </si>
  <si>
    <t xml:space="preserve">Escavação </t>
  </si>
  <si>
    <t>M³</t>
  </si>
  <si>
    <t>h/m³</t>
  </si>
  <si>
    <t xml:space="preserve">Fôrma </t>
  </si>
  <si>
    <t>M²</t>
  </si>
  <si>
    <t>h/m²</t>
  </si>
  <si>
    <t xml:space="preserve">Armação </t>
  </si>
  <si>
    <t>Kg</t>
  </si>
  <si>
    <t>h/Kg</t>
  </si>
  <si>
    <t xml:space="preserve">Concreto </t>
  </si>
  <si>
    <t>Endereço:</t>
  </si>
  <si>
    <t>digitar endereço</t>
  </si>
  <si>
    <t>Prazo: digitar</t>
  </si>
  <si>
    <t>COMPLEMENTO</t>
  </si>
  <si>
    <t>01-22-01-020 C H</t>
  </si>
  <si>
    <t>REMO€ÇO DE FORRO DE GESSO, DE FORMA MANUAL, SEM REAPROVEITAMENTO. AF_09/2023 CS: 97641</t>
  </si>
  <si>
    <t>M2</t>
  </si>
  <si>
    <t>01-19-11-002 C H</t>
  </si>
  <si>
    <t>RODAP EM MARMORITE, ALTURA 10CM. AF_09/2020 CS: 101741</t>
  </si>
  <si>
    <t>M</t>
  </si>
  <si>
    <t>001-002</t>
  </si>
  <si>
    <t>FORRO</t>
  </si>
  <si>
    <t>63-19-01-303 O H</t>
  </si>
  <si>
    <t>FORRO ACéSTICO DE FIBRA MINERAL REMOVÖVEL, MODULA€ÇO 625 X 1250MM,APOIADO EM PERFIS METµLICOS TIPO T SUSPENSOS POR PERFIS RÖGIDOS,E=15MM</t>
  </si>
  <si>
    <t>64-23-74-016 O H</t>
  </si>
  <si>
    <t>RODAP EM POLIESTIRENO BRANCO 2,40M, H=10CM SANTA LUZIA OU EQUIVALENTE TCNICO - FORNECIMENTO E INSTALA€ÇO</t>
  </si>
  <si>
    <t>001-003</t>
  </si>
  <si>
    <t>ACABAMENTO</t>
  </si>
  <si>
    <t>62-23-65-080 O H</t>
  </si>
  <si>
    <t>REGULARIZA€ÇO DE BASE PARA PISOS C/ ARGAMASSA DE ALTA RESISTÒNCIA, TRA€O 1:3</t>
  </si>
  <si>
    <t>01-19-03-008 C H</t>
  </si>
  <si>
    <t>REVESTIMENTO CER¶MICO PARA PISO COM PLACAS TIPO ESMALTADA DE DIMENSåES 60X60 CMAPLICADA EM AMBIENTES DE µREA ENTRE 5 M2 E 10 M2. AF_02/2023_PE CS: 87256</t>
  </si>
  <si>
    <t>63-21-05-040 O H</t>
  </si>
  <si>
    <t>REJUNTAMENTO DE PISO CER¶MICO, COM CIMENTO BRANCO PARA JUNTAS DE AT 3MM</t>
  </si>
  <si>
    <t>01-18-02-002 C H</t>
  </si>
  <si>
    <t>LIXAMENTO DE MASSA PARA MADEIRA. AF_01/2021 CS: 102194</t>
  </si>
  <si>
    <t>64-23-74-017 O H</t>
  </si>
  <si>
    <t>EMASSAMENTO DE PAREDES INTERNAS C/ MASSA ACRÖLICA DUAS DEMÇOS</t>
  </si>
  <si>
    <t>64-23-74-173 O H</t>
  </si>
  <si>
    <t>APLICA€ÇO MANUAL DE PINTURA COM TINTA LµTEX ACRÖLICA CORAL OU EQUIVALENTE TCNICA, EM PAREDES EXTERNAS, DUAS DEMÇOS</t>
  </si>
  <si>
    <t>001-004</t>
  </si>
  <si>
    <t>INSTALAÇÕES ELÉTRICAS</t>
  </si>
  <si>
    <t>62-23-68-005 O H</t>
  </si>
  <si>
    <t>CAIXA DE MEDI€ÇO TC PADRÇO COELBA,DIMEN-SÇO (2,00 X 0,80 X 0,30)M - FORNECIMENTO E INSTALA€ÇO</t>
  </si>
  <si>
    <t>UN</t>
  </si>
  <si>
    <t>64-23-74-014 O H</t>
  </si>
  <si>
    <t>QUADRO GERAL DE BAIXA TENSÇO - QGBT,COMACABAMENTO EM PINTURA ELETROSTµTICA ABASE DE RESINA EPàXI,IP54,BARRAMENTOS COM TERMOCONTRµTIL,CHAPA DE A€O 12(ESTRUTURA) E 14(FECHAMENTO) - INSTALADO</t>
  </si>
  <si>
    <t>01-11-03-022 C H</t>
  </si>
  <si>
    <t>CABO DE COBRE FLEXÖVEL ISOLADO, 120 MMý, ANTI-CHAMA 0,6/1,0 KV, PARA REDE ENTERRADA DE DISTRIBUI€ÇO DE ENERGIA ELTRICA- FORNECIMENTO E INSTALA€ÇO. AF_12/2021CS: 92994</t>
  </si>
  <si>
    <t>01-11-01-041 C H</t>
  </si>
  <si>
    <t>ELETRODUTO RÖGIDO ROSCµVEL, PVC, DN 110MM (4), PARA REDE ENTERRADA DE DISTRIBUI€ÇO DE ENERGIA ELTRICA - FORNECIMENTO E INSTALA€ÇO. AF_12/2021 CS: 93012</t>
  </si>
  <si>
    <t>63-23-90-011 O H</t>
  </si>
  <si>
    <t>ESCAVA€ÇO MANUAL DE VALA OU CAVA EM MATERIAL DE 1¦ CATEGORIA, PROFUNDIDADE AT 1,50M - ORSE: 02497</t>
  </si>
  <si>
    <t>M3</t>
  </si>
  <si>
    <t>66-23-68-006 U H</t>
  </si>
  <si>
    <t>REATERRO DE VALA COM COMPACTA€ÇO MANUAL</t>
  </si>
  <si>
    <t>01-11-05-042 C H</t>
  </si>
  <si>
    <t>DISJUNTOR TERMOMAGNTICO TRIPOLAR , CORRENTE NOMINAL DE 250A - FORNECIMENTO E INSTALA€ÇO. AF_10/2020 CS: 101897</t>
  </si>
  <si>
    <t>01-11-08-050 C H</t>
  </si>
  <si>
    <t>ARMA€ÇO SECUNDµRIA, COM 1 ESTRIBO E 1 ISOLADOR - FORNECIMENTO E INSTALA€ÇO. AF_07/2020 CS: 101538</t>
  </si>
  <si>
    <t>01-11-13-006 C H</t>
  </si>
  <si>
    <t>CORDOALHA DE COBRE NU 70 MMý, ENTERRADA- FORNECIMENTO E INSTALA€ÇO. AF_08/2023CS: 96978</t>
  </si>
  <si>
    <t>62-23-65-117 U H</t>
  </si>
  <si>
    <t>CONECTOR CABO-HASTE EM BRONZE NATURAL PARA 1 CABO COBRE DE 16MM2 A 70MM2 COM GRAMPO U E PORCAS DE A€O GALV.REF:TEL-584 OU SIMILAR - FORNECIMENTO E INSTALA€ÇO</t>
  </si>
  <si>
    <t>63-21-05-016 O H</t>
  </si>
  <si>
    <t>HASTE DE ATERRAMENTO COPPERWELD, DIMENSåES DE 5/8X 3,00M,C/ CAIXA DE INSPE€ÇOEM POPIPROPILENO E TUBO ESGOTO 300MM</t>
  </si>
  <si>
    <t>63-21-05-014 O H</t>
  </si>
  <si>
    <t>QUADRO DE DISTRIBUI€ÇO DE LUZ EM CHAPA DE A€O DE SOBREPOR, AT 64 DIVISåES MODULARES, DIMENSåES EXTERNAS 973X405X95MM SEM BARRAMENTO</t>
  </si>
  <si>
    <t>01-11-03-018 C H</t>
  </si>
  <si>
    <t>CABO DE COBRE FLEXÖVEL ISOLADO, 35 MMý,ANTI-CHAMA 0,6/1,0 KV, PARA REDE ENTERRADA DE DISTRIBUI€ÇO DE ENERGIA ELTRICA - FORNECIMENTO E INSTALA€ÇO. AF_12/2021 CS: 92986</t>
  </si>
  <si>
    <t>63-21-05-057 O H</t>
  </si>
  <si>
    <t>TERMINAL OU CONECTOR DE PRESSÇO 120MM2 - FORNECIMENTO E INSTALA€ÇO</t>
  </si>
  <si>
    <t>01-11-01-039 C H</t>
  </si>
  <si>
    <t>ELETRODUTO RÖGIDO ROSCµVEL, PVC, DN 75 MM (2 1/2), PARA REDE ENTERRADA DE DISTRIBUI€ÇO DE ENERGIA ELTRICA - FORNECIMENTO E INSTALA€ÇO. AF_12/2021 CS: 93010</t>
  </si>
  <si>
    <t>01-11-09-006 C H</t>
  </si>
  <si>
    <t>ASSENTAMENTO DE POSTE DE CONCRETO COM COMPRIMENTO NOMINAL DE 11 M, CARGA NOMINAL MENOR OU IGUAL A 1000 DAN, ENGASTAMENTO SIMPLES COM 1,7 M DE SOLO (NÇO INCLUI FORNECIMENTO). AF_11/2019 CS: 100583</t>
  </si>
  <si>
    <t>62-23-65-141 O H</t>
  </si>
  <si>
    <t>POSTE DE CONCRETO 11MX600KG, DUPLO T,IN-CLUSIVE TRANSPORTE E INSTALA€ÇO</t>
  </si>
  <si>
    <t>63-21-05-027 O H</t>
  </si>
  <si>
    <t>CAIXA DE PASSAGEM EM ALUMÖNIO 20X20X12CM EMBUTIR - FORNECIMENTO E INSTALA€ÇO</t>
  </si>
  <si>
    <t>63-21-05-048 O H</t>
  </si>
  <si>
    <t>DISPOSITIVO DE PROTE€ÇO CONTRA SURTO DETENSÇO DPS 20KA - 275V - CLAMPER OU SIMILAR - FORNECIMENTO E INSTALA€ÇO</t>
  </si>
  <si>
    <t>62-23-68-040 U H</t>
  </si>
  <si>
    <t>ETIQUETA ADESIVA COM IDENTIFICA€ÇO DE VOLTAGEM CABO DE REDE E TV, ROTEADOR, SOM, FIOS, CONECTORES E ETC</t>
  </si>
  <si>
    <t>62-23-65-094 O H</t>
  </si>
  <si>
    <t>PLACA DE SINALIZA€ÇO DE RISCO DE CHOQUEELTRICO PARA SUBESTA€ÇO - FORNECIMENTO E INSTALA€ÇO</t>
  </si>
  <si>
    <t>001-005</t>
  </si>
  <si>
    <t>COMPLEMENTO - GUARITA</t>
  </si>
  <si>
    <t>001-006</t>
  </si>
  <si>
    <t>01-13-06-102 C H</t>
  </si>
  <si>
    <t>VASO SANITµRIO SIFONADO COM CAIXA ACOPLADA, LOU€A BRANCA - PADRÇO ALTO - FORNECIMENTO E INSTALA€ÇO. AF_01/2020 CS: 100878</t>
  </si>
  <si>
    <t>01-13-06-077 C H</t>
  </si>
  <si>
    <t>ASSENTO SANITµRIO CONVENCIONAL - FORNECIMENTO E INSTALACAO. AF_01/2020 CS: 100849</t>
  </si>
  <si>
    <t>01-13-06-081 C H</t>
  </si>
  <si>
    <t>TORNEIRA CROMADA DE MESA PARA LAVATàRIOCOM SENSOR DE PRESENCA. AF_01/2020 CS: 100854</t>
  </si>
  <si>
    <t>01-13-06-058 C H</t>
  </si>
  <si>
    <t>LAVATàRIO LOU€A BRANCA COM COLUNA, 45 X55CM OU EQUIVALENTE, PADRÇO MDIO, INCLUSO SIFÇO TIPO GARRAFA, VµLVULA E ENGATEFLEXÖVEL DE 40CM EM METAL CROMADO, COM APARELHO MISTURADOR PADRÇO MDIO - FORNEC</t>
  </si>
  <si>
    <t>01-13-06-062 C H</t>
  </si>
  <si>
    <t>BANCADA MµRMORE BRANCO, 50 X 60 CM, INCLUSO CUBA DE EMBUTIR OVAL EM LOU€A BRANCA 35 X 50 CM, VµLVULA, SIFÇO TIPO GARRAFA E ENGATE FLEXÖVEL 40 CM EM METAL CROMADO E APARELHO MISTURADOR DE MESA, PADRÇO</t>
  </si>
  <si>
    <t>01-13-06-074 C H</t>
  </si>
  <si>
    <t>KIT DE ACESSORIOS PARA BANHEIRO EM METAL CROMADO, 5 PECAS, INCLUSO FIXA€ÇO. AF_01/2020 CS: 95546</t>
  </si>
  <si>
    <t>01-07-04-005 C H</t>
  </si>
  <si>
    <t>JANELA DE A€O GALVANIZADO TIPO MAXIM-AR, COM BATENTE, FERRAGENS, PINTURA ANTICORROSIVA E GRADE, 1 FOLHA, EXCLUSIVE ALIZAR E CONTRAMARCO, FIXA€ÇO COM ARGAMASSA - FORNECIMENTO E INSTALA€ÇO. AF_11/2024 C</t>
  </si>
  <si>
    <t>01-07-09-031 C H</t>
  </si>
  <si>
    <t>PORTA DE ABRIR COM MOLA HIDRµULICA, EM VIDRO TEMPERADO, 90X210 CM, ESPESSURA 10MM, INCLUSIVE ACESSàRIOS. AF_01/2021 CS: 102184</t>
  </si>
  <si>
    <t>64-23-74-009 O H</t>
  </si>
  <si>
    <t>RETIRADA DE CONJUNTO DE ELETRODUTOS,ACESSàRIOS E CABOS</t>
  </si>
  <si>
    <t>66-24-20-801 O H</t>
  </si>
  <si>
    <t>CHUVEIRO ELETRâNICO, 127 (5500W) OU 220V(7800W), LORENZETTI ACQUA STORM ULTRA OU SIMILAR TCNICO -FORNECIMENTO E INSTALA€ÇO</t>
  </si>
  <si>
    <t>001-007</t>
  </si>
  <si>
    <t>INSTALAÇÃO ELÉTRICA</t>
  </si>
  <si>
    <t>62-23-65-118 U H</t>
  </si>
  <si>
    <t>LUMINµRIA COMPLETA DE SOBREPOR COM 2 L¶MPADAS TUBULARES LED DE 18W E CORPO EM CHAPA DE A€O TRATADA COM PINTURA ELETROSTµTICA, DOTADAS DE REFLETOR E ALETAS EM ALUMÖNIO DE ALTO BRILHO</t>
  </si>
  <si>
    <t>64-23-74-080 O H</t>
  </si>
  <si>
    <t>PONTO SECO PARA INSTALA€ÇO DE SOM,TV,ALARME E LàGICA, INCLUINDO ELETRODUTODE PVC RÖGIDO E CAIXA COM ESPELHO</t>
  </si>
  <si>
    <t>01-11-03-008 C H</t>
  </si>
  <si>
    <t>CABO DE COBRE FLEXÖVEL ISOLADO, 6 MMý, ANTI-CHAMA 0,6/1,0 KV, PARA CIRCUITOS TERMINAIS - FORNECIMENTO E INSTALA€ÇO. AF_03/2023 CS: 91931</t>
  </si>
  <si>
    <t>01-11-03-003 C H</t>
  </si>
  <si>
    <t>CABO DE COBRE FLEXÖVEL ISOLADO, 2,5 MMý, ANTI-CHAMA 450/750 V, PARA CIRCUITOS TERMINAIS - FORNECIMENTO E INSTALA€ÇO. AF_03/2023 CS: 91926</t>
  </si>
  <si>
    <t>01-11-01-026 C H</t>
  </si>
  <si>
    <t>ELETRODUTO RÖGIDO ROSCµVEL, PVC, DN 25 MM (3/4), PARA CIRCUITOS TERMINAIS, INSTALADO EM FORRO - FORNECIMENTO E INSTALA€ÇO. AF_03/2023 CS: 91863</t>
  </si>
  <si>
    <t>63-21-03-026 O H</t>
  </si>
  <si>
    <t>ABRA€ADEIRA EM A€O TIPO D, COM CUNHA, PARA ELETRODUTOS DN 1, INCLUSIVE ACESSàRIOS DE FIXA€ÇO - FORNECIMENTO E INSTALA€ÇO</t>
  </si>
  <si>
    <t>01-11-02-015 C H</t>
  </si>
  <si>
    <t>CURVA 90 GRAUS PARA ELETRODUTO, PVC, ROSCµVEL, DN 25 MM (3/4), PARA CIRCUITOS TERMINAIS, INSTALADA EM FORRO - FORNECIMENTO E INSTALA€ÇO. AF_03/2023 CS: 91890</t>
  </si>
  <si>
    <t>01-11-02-002 C H</t>
  </si>
  <si>
    <t>LUVA PARA ELETRODUTO, PVC, ROSCµVEL, DN25 MM (3/4), PARA CIRCUITOS TERMINAIS, INSTALADA EM FORRO - FORNECIMENTO E INSTALA€ÇO. AF_03/2023 CS: 91875</t>
  </si>
  <si>
    <t>64-23-74-160 O H</t>
  </si>
  <si>
    <t>BOX RETO EM ALUMÖNIO DI¶METRO 1- FORNECIMENTO E INSTALA€ÇO</t>
  </si>
  <si>
    <t>64-23-74-164 O H</t>
  </si>
  <si>
    <t>PARAFUSO CABE€A LENTILHA AUTO TRAV 1/4 X1/2</t>
  </si>
  <si>
    <t>62-23-65-115 U H</t>
  </si>
  <si>
    <t>BUCHA COM ARRUELA ALUMINIO 1. 1/2, PARAELETRODUTO - FORNECIMENTO E INSTALA€ÇO</t>
  </si>
  <si>
    <t>001-008</t>
  </si>
  <si>
    <t>LÓGICA</t>
  </si>
  <si>
    <t>66-23-68-038 O H</t>
  </si>
  <si>
    <t>TOMADA DUPLA PARA LàGICA RJ45, CAT.6,COMCAIXA PVC, SOBREPOR, COMPLETA</t>
  </si>
  <si>
    <t>64-23-74-148 O H</t>
  </si>
  <si>
    <t>CONECTOR RJ45 FÒMEA - CAT 6 - FORNECIMENTO E INSTALA€ÇO     ORSE:07164</t>
  </si>
  <si>
    <t>64-23-74-092 O H</t>
  </si>
  <si>
    <t>CONECTORIZA€ÇO (CRIMPAGEM)DE CABO UTPCAT 6 EM PATCH PAINEL</t>
  </si>
  <si>
    <t>62-23-65-165 U H</t>
  </si>
  <si>
    <t>CERTIFICA€ÇO DE REDE CAT 6</t>
  </si>
  <si>
    <t>PTO</t>
  </si>
  <si>
    <t>01-11-01-034 C H</t>
  </si>
  <si>
    <t>ELETRODUTO RÖGIDO ROSCµVEL, PVC, DN 25 MM (3/4), PARA CIRCUITOS TERMINAIS, INSTALADO EM PAREDE - FORNECIMENTO E INSTALA€ÇO. AF_03/2023 CS: 91871</t>
  </si>
  <si>
    <t>01-11-02-031 C H</t>
  </si>
  <si>
    <t>CURVA 90 GRAUS PARA ELETRODUTO, PVC, ROSCµVEL, DN 25 MM (3/4), PARA CIRCUITOS TERMINAIS, INSTALADA EM PAREDE - FORNECIMENTO E INSTALA€ÇO. AF_03/2023 CS: 91914</t>
  </si>
  <si>
    <t>01-11-02-010 C H</t>
  </si>
  <si>
    <t>LUVA PARA ELETRODUTO, PVC, ROSCµVEL, DN25 MM (3/4), PARA CIRCUITOS TERMINAIS, INSTALADA EM PAREDE - FORNECIMENTO E INSTALA€ÇO. AF_03/2023 CS: 91884</t>
  </si>
  <si>
    <t>67-23-68-027 O H</t>
  </si>
  <si>
    <t>ABRA€ADEIRA EM PVC PARA ELETRODUTO PARACONDULETE =3/4, INCLUINDO BUCHA E PARAFUSO</t>
  </si>
  <si>
    <t>63-09-01-001 U H</t>
  </si>
  <si>
    <t>ELETROCALHA PERFURADA EM A€O GALVANIZADO 150X100X3000MM COM TAMPA - FORNECIMENTOE INSTALA€ÇO</t>
  </si>
  <si>
    <t>63-09-01-020 U H</t>
  </si>
  <si>
    <t>EMENDA PARA ELETROCALHA 150X100MM - FORNECIMENTO E INSTALA€ÇO</t>
  </si>
  <si>
    <t>64-23-74-007 O H</t>
  </si>
  <si>
    <t>FIXA€ÇO PARA ELETROCALHA 150X100MM,COMSUPORTE , TIRANTE E PARAFUSO - FORNECIMENTO E INSTALA€ÇO</t>
  </si>
  <si>
    <t>63-09-01-008 U H</t>
  </si>
  <si>
    <t>CURVA 90§ VERTICAL PARA ELETROCALHA 150X100MM - FORNECIMENTO E INSTALA€ÇO</t>
  </si>
  <si>
    <t>63-09-01-010 U H</t>
  </si>
  <si>
    <t>CURVA 90§ HORIZONTAL PARA ELETROCALHA 100X100MM - FORNECIMENTO E INSTALA€ÇO</t>
  </si>
  <si>
    <t>63-09-01-016 U H</t>
  </si>
  <si>
    <t>TÒ PARA ELETROCALHA 200X100MM - FORNECIMENTO E INSTALA€ÇO</t>
  </si>
  <si>
    <t>64-23-74-149 O H</t>
  </si>
  <si>
    <t>RACK DE PISO 19 36U P870 PRETO COM PORTA EM ACRÖLICO - FORNECIMENTO E INSTALA€ÇO</t>
  </si>
  <si>
    <t>66-23-68-082 U H</t>
  </si>
  <si>
    <t>KIT PORCA GAIOLA</t>
  </si>
  <si>
    <t>CJ</t>
  </si>
  <si>
    <t>64-23-74-086 O H</t>
  </si>
  <si>
    <t>BANDEJA FIXA PARA RACK 19 900MM - FORNECIMENTO E INSTALA€ÇO   ORSE/11417</t>
  </si>
  <si>
    <t>67-23-68-028 O H</t>
  </si>
  <si>
    <t>ORGANIZA€ÇO DE RACK 19US, COM 1 PATCH PANEL 24P CAT 6, 1 VOICE PANEL 50, 20 PARAFUSOS PORCA GAIOLA E 1 GUIA DE CABO -FORNECIMENTO E INSTALA€ÇO</t>
  </si>
  <si>
    <t>64-23-74-146 O H</t>
  </si>
  <si>
    <t>VOICE PANEL 30 POSI€åES FURUKAWA OU EQUIVALENTE TCNICO - FORNECIMENTO E ISNTALA€ÇO</t>
  </si>
  <si>
    <t>01-12-05-009 C H</t>
  </si>
  <si>
    <t>PATCH PANEL 24 PORTAS, CATEGORIA 6 - FORNECIMENTO E INSTALA€ÇO. AF_11/2019 CS: 98302</t>
  </si>
  <si>
    <t>64-23-74-046 O H</t>
  </si>
  <si>
    <t>FUSÇO DE FIBRA àTICA</t>
  </si>
  <si>
    <t>64-23-74-144 O H</t>
  </si>
  <si>
    <t>PATCH CORD AZUL 1,5M CAT 6 E 2 CONECTORES RJ45 MACHO CAT6</t>
  </si>
  <si>
    <t>64-23-74-018 O H</t>
  </si>
  <si>
    <t>CABO UTP 4 PARES, CAT.6 FORNECIMENTO EINSTALA€ÇO</t>
  </si>
  <si>
    <t>66-23-68-121 U H</t>
  </si>
  <si>
    <t>CERTIFICA€ÇO DE FIBRA àPTICA ATRAVS DEOTDR, SENTIDOS DE A PARA B E DE B PARA A, EM CABO COM 4 FIBRAS</t>
  </si>
  <si>
    <t>001-009</t>
  </si>
  <si>
    <t>COBERTURA</t>
  </si>
  <si>
    <t>64-23-74-172 O H</t>
  </si>
  <si>
    <t>COBERTURA EM TELHA CERAMICA TIPO PAULISTA, COM ARGAMASSA TRACO 1:3 (CIMENTO E ARAREIA) E ARAME RECOZIDO</t>
  </si>
  <si>
    <t>001-010</t>
  </si>
  <si>
    <t>DIVERSOS</t>
  </si>
  <si>
    <t>63-19-01-301 O H</t>
  </si>
  <si>
    <t>LIMPEZA FINAL DA OBRA (9537)</t>
  </si>
  <si>
    <t>64-23-74-183 O H</t>
  </si>
  <si>
    <t>CARGA MANUAL DE ENTULHO EM CAMINHAO BASCULANTE 6 M3    (72897)</t>
  </si>
  <si>
    <t>01-15-06-001 C H</t>
  </si>
  <si>
    <t>TRANSPORTE COM CAMINHÇO BASCULANTE DE 6Mü, EM VIA URBANA EM LEITO NATURAL (UNIDADE: TXKM). AF_07/2020 CS: 97916</t>
  </si>
  <si>
    <t>TXK</t>
  </si>
  <si>
    <t>01-21-02-014 C H</t>
  </si>
  <si>
    <t>TRANSPORTE HORIZONTAL COM JERICA DE 60 L, DE MASSA/ GRANEL (UNIDADE: M3XKM). AF_07/2019 CS: 100205</t>
  </si>
  <si>
    <t>M3X</t>
  </si>
  <si>
    <t>63-21-04-001 O H</t>
  </si>
  <si>
    <t>TRANSPORTE VERTICAL MANUAL DE MATERIAISA GRANEL,COM CARRINHO OU GERICA,DO TRREO AT A 3A. LAJE</t>
  </si>
  <si>
    <t>02-01-01-002 O H</t>
  </si>
  <si>
    <t>ADICIONAL DE HORA EXTRA AOS DOMINGOS EFERIADOS DE 110% - AJUDANTE ESPECIALIZADO COM COMPLEMENTARES  CS:88243</t>
  </si>
  <si>
    <t>H</t>
  </si>
  <si>
    <t>02-01-01-018 O H</t>
  </si>
  <si>
    <t>ADICIONAL DE HORA EXTRA AOS SµBADOS 70%- AJUDANTE ESPECIALIZADO COM ENCARGOSCOMPLEMENTARESCS:88243</t>
  </si>
  <si>
    <t>02-01-01-001 O H</t>
  </si>
  <si>
    <t>ADICIONAL DE HORA EXTRA AOS DOMINGOS EFERIADOS DE 110% - PEDREIRO COM ENCARGOSCOMPLEMENTARES  CS:88309</t>
  </si>
  <si>
    <t>02-01-01-017 O H</t>
  </si>
  <si>
    <t>ADICIONAL DE HORA EXTRA AOS SµBADOS 70%- PEDREIRO COM ENCARGOS COMPLEMENTARESCS:88309</t>
  </si>
  <si>
    <t>02-01-01-010 O H</t>
  </si>
  <si>
    <t>ADICIONAL DE HORA EXTRA AOS DOMINGOS EFERIADOS DE 110% - ELETRICISTA COM ENCARGOS COMPLEMENTARES  CS:88264</t>
  </si>
  <si>
    <t>02-01-01-024 O H</t>
  </si>
  <si>
    <t>ADICIONAL DE HORA EXTRA AOS SµBADOS 70%-ELETRICISTA COM ENCARGOS COMPLEMENTARESCS:88264</t>
  </si>
  <si>
    <t>TAXA ADMINISTRATIVA</t>
  </si>
  <si>
    <t>002-001</t>
  </si>
  <si>
    <t>TAXA</t>
  </si>
  <si>
    <t>02-02-01-017 O H</t>
  </si>
  <si>
    <t>ADMINISTRA€ÇO LOCAL PARA O.S. ENTRER$ 380.000,01 A R$ 430.000,00</t>
  </si>
  <si>
    <t>MANUTEN€ÇO ELTRICA COMPLEMENTAR DO BLOCO 02</t>
  </si>
  <si>
    <t>ITEM</t>
  </si>
  <si>
    <t>DESCRIÇÃO</t>
  </si>
  <si>
    <t>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</si>
</sst>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#,##0.00_);\(##,###,##0.00\)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color rgb="FFFF0000"/>
      <name val="Arial"/>
      <family val="2"/>
    </font>
    <font>
      <b/>
      <sz val="11"/>
      <color rgb="FFFFC000"/>
      <name val="Arial"/>
      <family val="2"/>
    </font>
    <font>
      <b/>
      <sz val="18"/>
      <color rgb="FFFF0000"/>
      <name val="Arial"/>
      <family val="2"/>
    </font>
    <font>
      <sz val="18"/>
      <color theme="0" tint="-0.249977111117893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 applyAlignment="1">
      <alignment horizontal="center" vertical="center"/>
    </xf>
    <xf numFmtId="164" fontId="9" fillId="3" borderId="0" xfId="0" applyNumberFormat="1" applyFont="1" applyFill="1" applyAlignment="1">
      <alignment horizontal="center"/>
    </xf>
    <xf numFmtId="2" fontId="10" fillId="0" borderId="0" xfId="0" applyNumberFormat="1" applyFont="1" applyAlignment="1">
      <alignment vertical="center"/>
    </xf>
    <xf numFmtId="0" fontId="11" fillId="0" borderId="0" xfId="0" applyFont="1"/>
    <xf numFmtId="2" fontId="8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4" fontId="5" fillId="2" borderId="1" xfId="0" applyNumberFormat="1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4" fontId="5" fillId="0" borderId="0" xfId="0" applyNumberFormat="1" applyFont="1" applyAlignment="1" applyProtection="1">
      <alignment horizontal="center" vertical="center"/>
      <protection locked="0"/>
    </xf>
    <xf numFmtId="4" fontId="6" fillId="0" borderId="0" xfId="0" applyNumberFormat="1" applyFont="1" applyAlignment="1" applyProtection="1">
      <alignment horizontal="center" vertical="center"/>
      <protection locked="0"/>
    </xf>
    <xf numFmtId="4" fontId="4" fillId="0" borderId="0" xfId="0" applyNumberFormat="1" applyFont="1" applyAlignment="1" applyProtection="1">
      <alignment horizontal="center" vertical="center"/>
      <protection locked="0"/>
    </xf>
    <xf numFmtId="4" fontId="5" fillId="0" borderId="1" xfId="0" applyNumberFormat="1" applyFont="1" applyBorder="1" applyAlignment="1" applyProtection="1">
      <alignment horizontal="center" vertical="center"/>
      <protection locked="0"/>
    </xf>
    <xf numFmtId="2" fontId="10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0" xfId="1"/>
    <xf numFmtId="0" fontId="14" fillId="0" borderId="1" xfId="1" applyFont="1" applyBorder="1" applyAlignment="1">
      <alignment textRotation="90"/>
    </xf>
    <xf numFmtId="0" fontId="1" fillId="0" borderId="1" xfId="1" applyBorder="1"/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vertical="center"/>
    </xf>
    <xf numFmtId="0" fontId="1" fillId="5" borderId="1" xfId="1" applyFill="1" applyBorder="1" applyAlignment="1">
      <alignment horizontal="center" vertical="center"/>
    </xf>
    <xf numFmtId="0" fontId="1" fillId="5" borderId="1" xfId="1" applyFill="1" applyBorder="1" applyAlignment="1">
      <alignment vertical="center"/>
    </xf>
    <xf numFmtId="0" fontId="7" fillId="0" borderId="0" xfId="0" applyFont="1" applyAlignment="1">
      <alignment horizontal="center"/>
    </xf>
    <xf numFmtId="0" fontId="15" fillId="0" borderId="0" xfId="0" applyFont="1"/>
    <xf numFmtId="0" fontId="3" fillId="4" borderId="1" xfId="0" quotePrefix="1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vertical="center" wrapText="1"/>
      <protection locked="0"/>
    </xf>
    <xf numFmtId="0" fontId="0" fillId="0" borderId="3" xfId="0" applyBorder="1" applyProtection="1">
      <protection locked="0"/>
    </xf>
    <xf numFmtId="0" fontId="6" fillId="0" borderId="2" xfId="0" applyFont="1" applyBorder="1" applyAlignment="1">
      <alignment horizontal="left" vertical="center" wrapText="1"/>
    </xf>
    <xf numFmtId="0" fontId="0" fillId="0" borderId="4" xfId="0" applyBorder="1"/>
    <xf numFmtId="0" fontId="0" fillId="0" borderId="3" xfId="0" applyBorder="1"/>
    <xf numFmtId="0" fontId="5" fillId="2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 wrapText="1"/>
    </xf>
    <xf numFmtId="0" fontId="0" fillId="4" borderId="4" xfId="0" applyFill="1" applyBorder="1"/>
    <xf numFmtId="0" fontId="0" fillId="4" borderId="3" xfId="0" applyFill="1" applyBorder="1"/>
    <xf numFmtId="0" fontId="5" fillId="0" borderId="3" xfId="0" applyFont="1" applyBorder="1" applyAlignment="1" applyProtection="1">
      <alignment horizontal="left" vertical="center" wrapText="1"/>
      <protection locked="0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2" fillId="4" borderId="1" xfId="0" applyFont="1" applyFill="1" applyBorder="1" applyAlignment="1">
      <alignment horizontal="left" vertical="center" wrapText="1"/>
    </xf>
    <xf numFmtId="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4" fontId="15" fillId="0" borderId="0" xfId="0" applyNumberFormat="1" applyFont="1" applyAlignment="1">
      <alignment horizontal="center" vertical="center"/>
    </xf>
    <xf numFmtId="0" fontId="14" fillId="0" borderId="1" xfId="1" applyFont="1" applyBorder="1" applyAlignment="1">
      <alignment horizontal="center"/>
    </xf>
    <xf numFmtId="0" fontId="13" fillId="0" borderId="0" xfId="1" applyFont="1" applyAlignment="1">
      <alignment horizontal="center"/>
    </xf>
    <xf numFmtId="0" fontId="14" fillId="0" borderId="1" xfId="1" applyFont="1" applyBorder="1" applyAlignment="1">
      <alignment horizontal="center" vertical="center"/>
    </xf>
    <xf numFmtId="0" fontId="14" fillId="0" borderId="1" xfId="1" applyFont="1" applyBorder="1" applyAlignment="1">
      <alignment horizontal="justify" vertical="center"/>
    </xf>
    <xf numFmtId="0" fontId="14" fillId="0" borderId="1" xfId="1" applyFont="1" applyBorder="1" applyAlignment="1">
      <alignment horizontal="center" textRotation="90"/>
    </xf>
    <xf numFmtId="0" fontId="7" fillId="0" borderId="6" xfId="0" applyFont="1" applyBorder="1"/>
    <xf numFmtId="0" fontId="7" fillId="0" borderId="5" xfId="0" applyFont="1" applyBorder="1"/>
    <xf numFmtId="0" fontId="7" fillId="0" borderId="7" xfId="0" applyFont="1" applyBorder="1"/>
    <xf numFmtId="0" fontId="0" fillId="0" borderId="0" xfId="0" applyAlignment="1">
      <alignment wrapText="1"/>
    </xf>
  </cellXfs>
  <cellStyles count="2">
    <cellStyle name="Normal" xfId="0" builtinId="0"/>
    <cellStyle name="Normal 2" xfId="1" xr:uid="{00000000-0005-0000-0000-000001000000}"/>
  </cellStyles>
  <dxfs count="6">
    <dxf>
      <font>
        <b/>
        <i val="0"/>
        <color theme="6" tint="-0.24994659260841701"/>
      </font>
    </dxf>
    <dxf>
      <font>
        <b/>
        <i val="0"/>
        <color theme="6" tint="-0.24994659260841701"/>
      </font>
    </dxf>
    <dxf>
      <font>
        <b/>
        <i val="0"/>
        <color theme="6" tint="-0.24994659260841701"/>
      </font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461596</xdr:colOff>
      <xdr:row>0</xdr:row>
      <xdr:rowOff>0</xdr:rowOff>
    </xdr:from>
    <xdr:to>
      <xdr:col>1</xdr:col>
      <xdr:colOff>1091712</xdr:colOff>
      <xdr:row>2</xdr:row>
      <xdr:rowOff>87923</xdr:rowOff>
    </xdr:to>
    <xdr:sp macro="" textlink="">
      <xdr:nvSpPr>
        <xdr:cNvPr id="2" name="Seta para a esquerda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461596" y="146539"/>
          <a:ext cx="1421424" cy="512884"/>
        </a:xfrm>
        <a:prstGeom prst="leftArrow">
          <a:avLst>
            <a:gd name="adj1" fmla="val 50000"/>
            <a:gd name="adj2" fmla="val 104348"/>
          </a:avLst>
        </a:prstGeom>
        <a:solidFill>
          <a:srgbClr val="FFFF00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scene3d>
          <a:camera prst="perspectiveHeroicExtremeLeftFacing"/>
          <a:lightRig rig="threePt" dir="t"/>
        </a:scene3d>
        <a:sp3d>
          <a:bevelT w="101600" prst="riblet"/>
        </a:sp3d>
      </xdr:spPr>
      <xdr:txBody>
        <a:bodyPr vertOverflow="clip" wrap="square" lIns="18288" tIns="0" rIns="0" bIns="0" rtlCol="0" anchor="ctr" upright="1"/>
        <a:lstStyle/>
        <a:p>
          <a:pPr algn="ctr"/>
          <a:r>
            <a:rPr lang="pt-BR" sz="1100"/>
            <a:t>COLE AQUI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4"/>
  <sheetViews>
    <sheetView zoomScale="130" zoomScaleNormal="130" workbookViewId="0">
      <selection activeCell="E1" sqref="E1"/>
    </sheetView>
  </sheetViews>
  <sheetFormatPr defaultRowHeight="13.2" x14ac:dyDescent="0.25"/>
  <cols>
    <col min="1" max="1" width="11.88671875" style="6" bestFit="1" customWidth="1"/>
    <col min="2" max="2" width="68.109375" style="5" customWidth="1"/>
    <col min="3" max="3" width="8.88671875" style="5" bestFit="1" customWidth="1"/>
    <col min="4" max="4" width="10.88671875" style="5" bestFit="1" customWidth="1"/>
    <col min="5" max="5" width="10.6640625" bestFit="1" customWidth="1"/>
    <col min="6" max="6" width="9.6640625" bestFit="1" customWidth="1"/>
  </cols>
  <sheetData>
    <row r="1" spans="1:6" ht="20.25" customHeight="1" x14ac:dyDescent="0.25">
      <c r="A1">
        <v>1</v>
      </c>
      <c r="B1" t="s">
        <v>593</v>
      </c>
      <c r="C1"/>
      <c r="D1" s="7"/>
      <c r="E1" s="7">
        <v>369213.73</v>
      </c>
      <c r="F1" s="7"/>
    </row>
    <row r="2" spans="1:6" x14ac:dyDescent="0.25">
      <c r="A2" t="s">
        <v>8</v>
      </c>
      <c r="B2" t="s">
        <v>385</v>
      </c>
      <c r="C2"/>
      <c r="D2" s="7">
        <v>0</v>
      </c>
      <c r="E2" s="7">
        <v>1856.8</v>
      </c>
      <c r="F2" s="7"/>
    </row>
    <row r="3" spans="1:6" x14ac:dyDescent="0.25">
      <c r="A3" t="s">
        <v>386</v>
      </c>
      <c r="B3" t="s">
        <v>387</v>
      </c>
      <c r="C3" t="s">
        <v>388</v>
      </c>
      <c r="D3" s="7">
        <v>220</v>
      </c>
      <c r="E3" s="7">
        <v>2.62</v>
      </c>
      <c r="F3" s="7">
        <v>576.4</v>
      </c>
    </row>
    <row r="4" spans="1:6" x14ac:dyDescent="0.25">
      <c r="A4" t="s">
        <v>389</v>
      </c>
      <c r="B4" t="s">
        <v>390</v>
      </c>
      <c r="C4" t="s">
        <v>391</v>
      </c>
      <c r="D4" s="7">
        <v>60</v>
      </c>
      <c r="E4" s="7">
        <v>21.34</v>
      </c>
      <c r="F4" s="7">
        <v>1280.4000000000001</v>
      </c>
    </row>
    <row r="5" spans="1:6" x14ac:dyDescent="0.25">
      <c r="A5" t="s">
        <v>392</v>
      </c>
      <c r="B5" t="s">
        <v>393</v>
      </c>
      <c r="C5"/>
      <c r="D5" s="7">
        <v>0</v>
      </c>
      <c r="E5" s="7">
        <v>16463.400000000001</v>
      </c>
      <c r="F5" s="7"/>
    </row>
    <row r="6" spans="1:6" x14ac:dyDescent="0.25">
      <c r="A6" t="s">
        <v>394</v>
      </c>
      <c r="B6" t="s">
        <v>395</v>
      </c>
      <c r="C6" t="s">
        <v>388</v>
      </c>
      <c r="D6" s="7">
        <v>180</v>
      </c>
      <c r="E6" s="7">
        <v>67.37</v>
      </c>
      <c r="F6" s="7">
        <v>12126.6</v>
      </c>
    </row>
    <row r="7" spans="1:6" x14ac:dyDescent="0.25">
      <c r="A7" t="s">
        <v>396</v>
      </c>
      <c r="B7" t="s">
        <v>397</v>
      </c>
      <c r="C7" t="s">
        <v>391</v>
      </c>
      <c r="D7" s="7">
        <v>60</v>
      </c>
      <c r="E7" s="7">
        <v>72.28</v>
      </c>
      <c r="F7" s="7">
        <v>4336.8</v>
      </c>
    </row>
    <row r="8" spans="1:6" x14ac:dyDescent="0.25">
      <c r="A8" t="s">
        <v>398</v>
      </c>
      <c r="B8" t="s">
        <v>399</v>
      </c>
      <c r="C8"/>
      <c r="D8" s="7">
        <v>0</v>
      </c>
      <c r="E8" s="7">
        <v>30942.5</v>
      </c>
      <c r="F8" s="7"/>
    </row>
    <row r="9" spans="1:6" x14ac:dyDescent="0.25">
      <c r="A9" t="s">
        <v>400</v>
      </c>
      <c r="B9" t="s">
        <v>401</v>
      </c>
      <c r="C9" t="s">
        <v>388</v>
      </c>
      <c r="D9" s="7">
        <v>150</v>
      </c>
      <c r="E9" s="7">
        <v>51.85</v>
      </c>
      <c r="F9" s="7">
        <v>7777.5</v>
      </c>
    </row>
    <row r="10" spans="1:6" x14ac:dyDescent="0.25">
      <c r="A10" t="s">
        <v>402</v>
      </c>
      <c r="B10" t="s">
        <v>403</v>
      </c>
      <c r="C10" t="s">
        <v>388</v>
      </c>
      <c r="D10" s="7">
        <v>150</v>
      </c>
      <c r="E10" s="7">
        <v>53.25</v>
      </c>
      <c r="F10" s="7">
        <v>7987.5</v>
      </c>
    </row>
    <row r="11" spans="1:6" x14ac:dyDescent="0.25">
      <c r="A11" t="s">
        <v>404</v>
      </c>
      <c r="B11" t="s">
        <v>405</v>
      </c>
      <c r="C11" t="s">
        <v>388</v>
      </c>
      <c r="D11" s="7">
        <v>150</v>
      </c>
      <c r="E11" s="7">
        <v>11.22</v>
      </c>
      <c r="F11" s="7">
        <v>1683</v>
      </c>
    </row>
    <row r="12" spans="1:6" x14ac:dyDescent="0.25">
      <c r="A12" t="s">
        <v>406</v>
      </c>
      <c r="B12" t="s">
        <v>407</v>
      </c>
      <c r="C12" t="s">
        <v>388</v>
      </c>
      <c r="D12" s="7">
        <v>200</v>
      </c>
      <c r="E12" s="7">
        <v>7.39</v>
      </c>
      <c r="F12" s="7">
        <v>1478</v>
      </c>
    </row>
    <row r="13" spans="1:6" x14ac:dyDescent="0.25">
      <c r="A13" t="s">
        <v>408</v>
      </c>
      <c r="B13" t="s">
        <v>409</v>
      </c>
      <c r="C13" t="s">
        <v>388</v>
      </c>
      <c r="D13" s="7">
        <v>200</v>
      </c>
      <c r="E13" s="7">
        <v>17.12</v>
      </c>
      <c r="F13" s="7">
        <v>3424</v>
      </c>
    </row>
    <row r="14" spans="1:6" x14ac:dyDescent="0.25">
      <c r="A14" t="s">
        <v>410</v>
      </c>
      <c r="B14" t="s">
        <v>411</v>
      </c>
      <c r="C14" t="s">
        <v>388</v>
      </c>
      <c r="D14" s="7">
        <v>350</v>
      </c>
      <c r="E14" s="7">
        <v>24.55</v>
      </c>
      <c r="F14" s="7">
        <v>8592.5</v>
      </c>
    </row>
    <row r="15" spans="1:6" x14ac:dyDescent="0.25">
      <c r="A15" t="s">
        <v>412</v>
      </c>
      <c r="B15" t="s">
        <v>413</v>
      </c>
      <c r="C15"/>
      <c r="D15" s="7">
        <v>0</v>
      </c>
      <c r="E15" s="7">
        <v>130385.17</v>
      </c>
      <c r="F15" s="7"/>
    </row>
    <row r="16" spans="1:6" x14ac:dyDescent="0.25">
      <c r="A16" t="s">
        <v>414</v>
      </c>
      <c r="B16" t="s">
        <v>415</v>
      </c>
      <c r="C16" t="s">
        <v>416</v>
      </c>
      <c r="D16" s="7">
        <v>1</v>
      </c>
      <c r="E16" s="7">
        <v>1855.2</v>
      </c>
      <c r="F16" s="7">
        <v>1855.2</v>
      </c>
    </row>
    <row r="17" spans="1:6" x14ac:dyDescent="0.25">
      <c r="A17" t="s">
        <v>417</v>
      </c>
      <c r="B17" t="s">
        <v>418</v>
      </c>
      <c r="C17" t="s">
        <v>416</v>
      </c>
      <c r="D17" s="7">
        <v>1</v>
      </c>
      <c r="E17" s="7">
        <v>9417.9599999999991</v>
      </c>
      <c r="F17" s="7">
        <v>9417.9599999999991</v>
      </c>
    </row>
    <row r="18" spans="1:6" x14ac:dyDescent="0.25">
      <c r="A18" t="s">
        <v>419</v>
      </c>
      <c r="B18" t="s">
        <v>420</v>
      </c>
      <c r="C18" t="s">
        <v>391</v>
      </c>
      <c r="D18" s="7">
        <v>600</v>
      </c>
      <c r="E18" s="7">
        <v>104.13</v>
      </c>
      <c r="F18" s="7">
        <v>62478</v>
      </c>
    </row>
    <row r="19" spans="1:6" x14ac:dyDescent="0.25">
      <c r="A19" t="s">
        <v>421</v>
      </c>
      <c r="B19" t="s">
        <v>422</v>
      </c>
      <c r="C19" t="s">
        <v>391</v>
      </c>
      <c r="D19" s="7">
        <v>250</v>
      </c>
      <c r="E19" s="7">
        <v>52.21</v>
      </c>
      <c r="F19" s="7">
        <v>13052.5</v>
      </c>
    </row>
    <row r="20" spans="1:6" x14ac:dyDescent="0.25">
      <c r="A20" t="s">
        <v>423</v>
      </c>
      <c r="B20" t="s">
        <v>424</v>
      </c>
      <c r="C20" t="s">
        <v>425</v>
      </c>
      <c r="D20" s="7">
        <v>90</v>
      </c>
      <c r="E20" s="7">
        <v>55.75</v>
      </c>
      <c r="F20" s="7">
        <v>5017.5</v>
      </c>
    </row>
    <row r="21" spans="1:6" x14ac:dyDescent="0.25">
      <c r="A21" t="s">
        <v>426</v>
      </c>
      <c r="B21" t="s">
        <v>427</v>
      </c>
      <c r="C21" t="s">
        <v>425</v>
      </c>
      <c r="D21" s="7">
        <v>70</v>
      </c>
      <c r="E21" s="7">
        <v>55.75</v>
      </c>
      <c r="F21" s="7">
        <v>3902.5</v>
      </c>
    </row>
    <row r="22" spans="1:6" x14ac:dyDescent="0.25">
      <c r="A22" t="s">
        <v>428</v>
      </c>
      <c r="B22" t="s">
        <v>429</v>
      </c>
      <c r="C22" t="s">
        <v>416</v>
      </c>
      <c r="D22" s="7">
        <v>2</v>
      </c>
      <c r="E22" s="7">
        <v>780.04</v>
      </c>
      <c r="F22" s="7">
        <v>1560.08</v>
      </c>
    </row>
    <row r="23" spans="1:6" x14ac:dyDescent="0.25">
      <c r="A23" t="s">
        <v>430</v>
      </c>
      <c r="B23" t="s">
        <v>431</v>
      </c>
      <c r="C23" t="s">
        <v>416</v>
      </c>
      <c r="D23" s="7">
        <v>1</v>
      </c>
      <c r="E23" s="7">
        <v>51.19</v>
      </c>
      <c r="F23" s="7">
        <v>51.19</v>
      </c>
    </row>
    <row r="24" spans="1:6" x14ac:dyDescent="0.25">
      <c r="A24" t="s">
        <v>432</v>
      </c>
      <c r="B24" t="s">
        <v>433</v>
      </c>
      <c r="C24" t="s">
        <v>391</v>
      </c>
      <c r="D24" s="7">
        <v>190</v>
      </c>
      <c r="E24" s="7">
        <v>60.79</v>
      </c>
      <c r="F24" s="7">
        <v>11550.1</v>
      </c>
    </row>
    <row r="25" spans="1:6" x14ac:dyDescent="0.25">
      <c r="A25" t="s">
        <v>434</v>
      </c>
      <c r="B25" t="s">
        <v>435</v>
      </c>
      <c r="C25" t="s">
        <v>416</v>
      </c>
      <c r="D25" s="7">
        <v>14</v>
      </c>
      <c r="E25" s="7">
        <v>28.9</v>
      </c>
      <c r="F25" s="7">
        <v>404.6</v>
      </c>
    </row>
    <row r="26" spans="1:6" x14ac:dyDescent="0.25">
      <c r="A26" t="s">
        <v>436</v>
      </c>
      <c r="B26" t="s">
        <v>437</v>
      </c>
      <c r="C26" t="s">
        <v>416</v>
      </c>
      <c r="D26" s="7">
        <v>12</v>
      </c>
      <c r="E26" s="7">
        <v>273.24</v>
      </c>
      <c r="F26" s="7">
        <v>3278.88</v>
      </c>
    </row>
    <row r="27" spans="1:6" x14ac:dyDescent="0.25">
      <c r="A27" t="s">
        <v>438</v>
      </c>
      <c r="B27" t="s">
        <v>439</v>
      </c>
      <c r="C27" t="s">
        <v>416</v>
      </c>
      <c r="D27" s="7">
        <v>3</v>
      </c>
      <c r="E27" s="7">
        <v>1901.24</v>
      </c>
      <c r="F27" s="7">
        <v>5703.72</v>
      </c>
    </row>
    <row r="28" spans="1:6" x14ac:dyDescent="0.25">
      <c r="A28" t="s">
        <v>440</v>
      </c>
      <c r="B28" t="s">
        <v>441</v>
      </c>
      <c r="C28" t="s">
        <v>391</v>
      </c>
      <c r="D28" s="7">
        <v>170</v>
      </c>
      <c r="E28" s="7">
        <v>30.94</v>
      </c>
      <c r="F28" s="7">
        <v>5259.8</v>
      </c>
    </row>
    <row r="29" spans="1:6" x14ac:dyDescent="0.25">
      <c r="A29" t="s">
        <v>442</v>
      </c>
      <c r="B29" t="s">
        <v>443</v>
      </c>
      <c r="C29" t="s">
        <v>416</v>
      </c>
      <c r="D29" s="7">
        <v>16</v>
      </c>
      <c r="E29" s="7">
        <v>41.7</v>
      </c>
      <c r="F29" s="7">
        <v>667.2</v>
      </c>
    </row>
    <row r="30" spans="1:6" x14ac:dyDescent="0.25">
      <c r="A30" t="s">
        <v>444</v>
      </c>
      <c r="B30" t="s">
        <v>445</v>
      </c>
      <c r="C30" t="s">
        <v>391</v>
      </c>
      <c r="D30" s="7">
        <v>50</v>
      </c>
      <c r="E30" s="7">
        <v>28.54</v>
      </c>
      <c r="F30" s="7">
        <v>1427</v>
      </c>
    </row>
    <row r="31" spans="1:6" x14ac:dyDescent="0.25">
      <c r="A31" t="s">
        <v>446</v>
      </c>
      <c r="B31" t="s">
        <v>447</v>
      </c>
      <c r="C31" t="s">
        <v>416</v>
      </c>
      <c r="D31" s="7">
        <v>1</v>
      </c>
      <c r="E31" s="7">
        <v>495.8</v>
      </c>
      <c r="F31" s="7">
        <v>495.8</v>
      </c>
    </row>
    <row r="32" spans="1:6" x14ac:dyDescent="0.25">
      <c r="A32" t="s">
        <v>448</v>
      </c>
      <c r="B32" t="s">
        <v>449</v>
      </c>
      <c r="C32" t="s">
        <v>416</v>
      </c>
      <c r="D32" s="7">
        <v>1</v>
      </c>
      <c r="E32" s="7">
        <v>2688.26</v>
      </c>
      <c r="F32" s="7">
        <v>2688.26</v>
      </c>
    </row>
    <row r="33" spans="1:6" x14ac:dyDescent="0.25">
      <c r="A33" t="s">
        <v>450</v>
      </c>
      <c r="B33" t="s">
        <v>451</v>
      </c>
      <c r="C33" t="s">
        <v>416</v>
      </c>
      <c r="D33" s="7">
        <v>4</v>
      </c>
      <c r="E33" s="7">
        <v>49.88</v>
      </c>
      <c r="F33" s="7">
        <v>199.52</v>
      </c>
    </row>
    <row r="34" spans="1:6" x14ac:dyDescent="0.25">
      <c r="A34" t="s">
        <v>452</v>
      </c>
      <c r="B34" t="s">
        <v>453</v>
      </c>
      <c r="C34" t="s">
        <v>416</v>
      </c>
      <c r="D34" s="7">
        <v>12</v>
      </c>
      <c r="E34" s="7">
        <v>89.67</v>
      </c>
      <c r="F34" s="7">
        <v>1076.04</v>
      </c>
    </row>
    <row r="35" spans="1:6" x14ac:dyDescent="0.25">
      <c r="A35" t="s">
        <v>454</v>
      </c>
      <c r="B35" t="s">
        <v>455</v>
      </c>
      <c r="C35" t="s">
        <v>416</v>
      </c>
      <c r="D35" s="7">
        <v>300</v>
      </c>
      <c r="E35" s="7">
        <v>0.8</v>
      </c>
      <c r="F35" s="7">
        <v>240</v>
      </c>
    </row>
    <row r="36" spans="1:6" x14ac:dyDescent="0.25">
      <c r="A36" t="s">
        <v>456</v>
      </c>
      <c r="B36" t="s">
        <v>457</v>
      </c>
      <c r="C36" t="s">
        <v>416</v>
      </c>
      <c r="D36" s="7">
        <v>2</v>
      </c>
      <c r="E36" s="7">
        <v>29.66</v>
      </c>
      <c r="F36" s="7">
        <v>59.32</v>
      </c>
    </row>
    <row r="37" spans="1:6" x14ac:dyDescent="0.25">
      <c r="A37" t="s">
        <v>458</v>
      </c>
      <c r="B37" t="s">
        <v>459</v>
      </c>
      <c r="C37"/>
      <c r="D37" s="7">
        <v>0</v>
      </c>
      <c r="E37" s="7">
        <v>362.02</v>
      </c>
      <c r="F37" s="7"/>
    </row>
    <row r="38" spans="1:6" x14ac:dyDescent="0.25">
      <c r="A38" t="s">
        <v>386</v>
      </c>
      <c r="B38" t="s">
        <v>387</v>
      </c>
      <c r="C38" t="s">
        <v>388</v>
      </c>
      <c r="D38" s="7">
        <v>16</v>
      </c>
      <c r="E38" s="7">
        <v>2.62</v>
      </c>
      <c r="F38" s="7">
        <v>41.92</v>
      </c>
    </row>
    <row r="39" spans="1:6" x14ac:dyDescent="0.25">
      <c r="A39" t="s">
        <v>389</v>
      </c>
      <c r="B39" t="s">
        <v>390</v>
      </c>
      <c r="C39" t="s">
        <v>391</v>
      </c>
      <c r="D39" s="7">
        <v>15</v>
      </c>
      <c r="E39" s="7">
        <v>21.34</v>
      </c>
      <c r="F39" s="7">
        <v>320.10000000000002</v>
      </c>
    </row>
    <row r="40" spans="1:6" x14ac:dyDescent="0.25">
      <c r="A40" t="s">
        <v>460</v>
      </c>
      <c r="B40" t="s">
        <v>399</v>
      </c>
      <c r="C40"/>
      <c r="D40" s="7">
        <v>0</v>
      </c>
      <c r="E40" s="7">
        <v>16148.15</v>
      </c>
      <c r="F40" s="7"/>
    </row>
    <row r="41" spans="1:6" x14ac:dyDescent="0.25">
      <c r="A41" t="s">
        <v>394</v>
      </c>
      <c r="B41" t="s">
        <v>395</v>
      </c>
      <c r="C41" t="s">
        <v>388</v>
      </c>
      <c r="D41" s="7">
        <v>22</v>
      </c>
      <c r="E41" s="7">
        <v>67.37</v>
      </c>
      <c r="F41" s="7">
        <v>1482.14</v>
      </c>
    </row>
    <row r="42" spans="1:6" x14ac:dyDescent="0.25">
      <c r="A42" t="s">
        <v>396</v>
      </c>
      <c r="B42" t="s">
        <v>397</v>
      </c>
      <c r="C42" t="s">
        <v>391</v>
      </c>
      <c r="D42" s="7">
        <v>18</v>
      </c>
      <c r="E42" s="7">
        <v>72.28</v>
      </c>
      <c r="F42" s="7">
        <v>1301.04</v>
      </c>
    </row>
    <row r="43" spans="1:6" x14ac:dyDescent="0.25">
      <c r="A43" t="s">
        <v>400</v>
      </c>
      <c r="B43" t="s">
        <v>401</v>
      </c>
      <c r="C43" t="s">
        <v>388</v>
      </c>
      <c r="D43" s="7">
        <v>16</v>
      </c>
      <c r="E43" s="7">
        <v>51.85</v>
      </c>
      <c r="F43" s="7">
        <v>829.6</v>
      </c>
    </row>
    <row r="44" spans="1:6" x14ac:dyDescent="0.25">
      <c r="A44" t="s">
        <v>402</v>
      </c>
      <c r="B44" t="s">
        <v>403</v>
      </c>
      <c r="C44" t="s">
        <v>388</v>
      </c>
      <c r="D44" s="7">
        <v>16</v>
      </c>
      <c r="E44" s="7">
        <v>53.25</v>
      </c>
      <c r="F44" s="7">
        <v>852</v>
      </c>
    </row>
    <row r="45" spans="1:6" x14ac:dyDescent="0.25">
      <c r="A45" t="s">
        <v>404</v>
      </c>
      <c r="B45" t="s">
        <v>405</v>
      </c>
      <c r="C45" t="s">
        <v>388</v>
      </c>
      <c r="D45" s="7">
        <v>16</v>
      </c>
      <c r="E45" s="7">
        <v>11.22</v>
      </c>
      <c r="F45" s="7">
        <v>179.52</v>
      </c>
    </row>
    <row r="46" spans="1:6" x14ac:dyDescent="0.25">
      <c r="A46" t="s">
        <v>408</v>
      </c>
      <c r="B46" t="s">
        <v>409</v>
      </c>
      <c r="C46" t="s">
        <v>388</v>
      </c>
      <c r="D46" s="7">
        <v>30</v>
      </c>
      <c r="E46" s="7">
        <v>17.12</v>
      </c>
      <c r="F46" s="7">
        <v>513.6</v>
      </c>
    </row>
    <row r="47" spans="1:6" x14ac:dyDescent="0.25">
      <c r="A47" t="s">
        <v>461</v>
      </c>
      <c r="B47" t="s">
        <v>462</v>
      </c>
      <c r="C47" t="s">
        <v>416</v>
      </c>
      <c r="D47" s="7">
        <v>1</v>
      </c>
      <c r="E47" s="7">
        <v>543.54</v>
      </c>
      <c r="F47" s="7">
        <v>543.54</v>
      </c>
    </row>
    <row r="48" spans="1:6" x14ac:dyDescent="0.25">
      <c r="A48" t="s">
        <v>463</v>
      </c>
      <c r="B48" t="s">
        <v>464</v>
      </c>
      <c r="C48" t="s">
        <v>416</v>
      </c>
      <c r="D48" s="7">
        <v>5</v>
      </c>
      <c r="E48" s="7">
        <v>29.54</v>
      </c>
      <c r="F48" s="7">
        <v>147.69999999999999</v>
      </c>
    </row>
    <row r="49" spans="1:6" x14ac:dyDescent="0.25">
      <c r="A49" t="s">
        <v>465</v>
      </c>
      <c r="B49" t="s">
        <v>466</v>
      </c>
      <c r="C49" t="s">
        <v>416</v>
      </c>
      <c r="D49" s="7">
        <v>2</v>
      </c>
      <c r="E49" s="7">
        <v>1527.29</v>
      </c>
      <c r="F49" s="7">
        <v>3054.58</v>
      </c>
    </row>
    <row r="50" spans="1:6" x14ac:dyDescent="0.25">
      <c r="A50" t="s">
        <v>467</v>
      </c>
      <c r="B50" t="s">
        <v>468</v>
      </c>
      <c r="C50" t="s">
        <v>416</v>
      </c>
      <c r="D50" s="7">
        <v>1</v>
      </c>
      <c r="E50" s="7">
        <v>860.66</v>
      </c>
      <c r="F50" s="7">
        <v>860.66</v>
      </c>
    </row>
    <row r="51" spans="1:6" x14ac:dyDescent="0.25">
      <c r="A51" t="s">
        <v>469</v>
      </c>
      <c r="B51" t="s">
        <v>470</v>
      </c>
      <c r="C51" t="s">
        <v>416</v>
      </c>
      <c r="D51" s="7">
        <v>1</v>
      </c>
      <c r="E51" s="7">
        <v>905.09</v>
      </c>
      <c r="F51" s="7">
        <v>905.09</v>
      </c>
    </row>
    <row r="52" spans="1:6" x14ac:dyDescent="0.25">
      <c r="A52" t="s">
        <v>471</v>
      </c>
      <c r="B52" t="s">
        <v>472</v>
      </c>
      <c r="C52" t="s">
        <v>416</v>
      </c>
      <c r="D52" s="7">
        <v>1</v>
      </c>
      <c r="E52" s="7">
        <v>98.98</v>
      </c>
      <c r="F52" s="7">
        <v>98.98</v>
      </c>
    </row>
    <row r="53" spans="1:6" x14ac:dyDescent="0.25">
      <c r="A53" t="s">
        <v>473</v>
      </c>
      <c r="B53" t="s">
        <v>474</v>
      </c>
      <c r="C53" t="s">
        <v>388</v>
      </c>
      <c r="D53" s="7">
        <v>4</v>
      </c>
      <c r="E53" s="7">
        <v>824.41</v>
      </c>
      <c r="F53" s="7">
        <v>3297.64</v>
      </c>
    </row>
    <row r="54" spans="1:6" x14ac:dyDescent="0.25">
      <c r="A54" t="s">
        <v>475</v>
      </c>
      <c r="B54" t="s">
        <v>476</v>
      </c>
      <c r="C54" t="s">
        <v>416</v>
      </c>
      <c r="D54" s="7">
        <v>1</v>
      </c>
      <c r="E54" s="7">
        <v>1673.8</v>
      </c>
      <c r="F54" s="7">
        <v>1673.8</v>
      </c>
    </row>
    <row r="55" spans="1:6" x14ac:dyDescent="0.25">
      <c r="A55" t="s">
        <v>477</v>
      </c>
      <c r="B55" t="s">
        <v>478</v>
      </c>
      <c r="C55" t="s">
        <v>391</v>
      </c>
      <c r="D55" s="7">
        <v>1</v>
      </c>
      <c r="E55" s="7">
        <v>7.77</v>
      </c>
      <c r="F55" s="7">
        <v>7.77</v>
      </c>
    </row>
    <row r="56" spans="1:6" x14ac:dyDescent="0.25">
      <c r="A56" t="s">
        <v>479</v>
      </c>
      <c r="B56" t="s">
        <v>480</v>
      </c>
      <c r="C56" t="s">
        <v>416</v>
      </c>
      <c r="D56" s="7">
        <v>1</v>
      </c>
      <c r="E56" s="7">
        <v>400.49</v>
      </c>
      <c r="F56" s="7">
        <v>400.49</v>
      </c>
    </row>
    <row r="57" spans="1:6" x14ac:dyDescent="0.25">
      <c r="A57" t="s">
        <v>481</v>
      </c>
      <c r="B57" t="s">
        <v>482</v>
      </c>
      <c r="C57"/>
      <c r="D57" s="7">
        <v>0</v>
      </c>
      <c r="E57" s="7">
        <v>20673.68</v>
      </c>
      <c r="F57" s="7"/>
    </row>
    <row r="58" spans="1:6" x14ac:dyDescent="0.25">
      <c r="A58" t="s">
        <v>483</v>
      </c>
      <c r="B58" t="s">
        <v>484</v>
      </c>
      <c r="C58" t="s">
        <v>416</v>
      </c>
      <c r="D58" s="7">
        <v>25</v>
      </c>
      <c r="E58" s="7">
        <v>244.83</v>
      </c>
      <c r="F58" s="7">
        <v>6120.75</v>
      </c>
    </row>
    <row r="59" spans="1:6" x14ac:dyDescent="0.25">
      <c r="A59" t="s">
        <v>485</v>
      </c>
      <c r="B59" t="s">
        <v>486</v>
      </c>
      <c r="C59" t="s">
        <v>416</v>
      </c>
      <c r="D59" s="7">
        <v>4</v>
      </c>
      <c r="E59" s="7">
        <v>99.74</v>
      </c>
      <c r="F59" s="7">
        <v>398.96</v>
      </c>
    </row>
    <row r="60" spans="1:6" x14ac:dyDescent="0.25">
      <c r="A60" t="s">
        <v>487</v>
      </c>
      <c r="B60" t="s">
        <v>488</v>
      </c>
      <c r="C60" t="s">
        <v>391</v>
      </c>
      <c r="D60" s="7">
        <v>250</v>
      </c>
      <c r="E60" s="7">
        <v>8.2899999999999991</v>
      </c>
      <c r="F60" s="7">
        <v>2072.5</v>
      </c>
    </row>
    <row r="61" spans="1:6" x14ac:dyDescent="0.25">
      <c r="A61" t="s">
        <v>489</v>
      </c>
      <c r="B61" t="s">
        <v>490</v>
      </c>
      <c r="C61" t="s">
        <v>391</v>
      </c>
      <c r="D61" s="7">
        <v>750</v>
      </c>
      <c r="E61" s="7">
        <v>3.57</v>
      </c>
      <c r="F61" s="7">
        <v>2677.5</v>
      </c>
    </row>
    <row r="62" spans="1:6" x14ac:dyDescent="0.25">
      <c r="A62" t="s">
        <v>438</v>
      </c>
      <c r="B62" t="s">
        <v>439</v>
      </c>
      <c r="C62" t="s">
        <v>416</v>
      </c>
      <c r="D62" s="7">
        <v>1</v>
      </c>
      <c r="E62" s="7">
        <v>1901.24</v>
      </c>
      <c r="F62" s="7">
        <v>1901.24</v>
      </c>
    </row>
    <row r="63" spans="1:6" x14ac:dyDescent="0.25">
      <c r="A63" t="s">
        <v>491</v>
      </c>
      <c r="B63" t="s">
        <v>492</v>
      </c>
      <c r="C63" t="s">
        <v>391</v>
      </c>
      <c r="D63" s="7">
        <v>150</v>
      </c>
      <c r="E63" s="7">
        <v>9.08</v>
      </c>
      <c r="F63" s="7">
        <v>1362</v>
      </c>
    </row>
    <row r="64" spans="1:6" x14ac:dyDescent="0.25">
      <c r="A64" t="s">
        <v>493</v>
      </c>
      <c r="B64" t="s">
        <v>494</v>
      </c>
      <c r="C64" t="s">
        <v>416</v>
      </c>
      <c r="D64" s="7">
        <v>200</v>
      </c>
      <c r="E64" s="7">
        <v>6.32</v>
      </c>
      <c r="F64" s="7">
        <v>1264</v>
      </c>
    </row>
    <row r="65" spans="1:6" x14ac:dyDescent="0.25">
      <c r="A65" t="s">
        <v>495</v>
      </c>
      <c r="B65" t="s">
        <v>496</v>
      </c>
      <c r="C65" t="s">
        <v>416</v>
      </c>
      <c r="D65" s="7">
        <v>22</v>
      </c>
      <c r="E65" s="7">
        <v>11.35</v>
      </c>
      <c r="F65" s="7">
        <v>249.7</v>
      </c>
    </row>
    <row r="66" spans="1:6" x14ac:dyDescent="0.25">
      <c r="A66" t="s">
        <v>497</v>
      </c>
      <c r="B66" t="s">
        <v>498</v>
      </c>
      <c r="C66" t="s">
        <v>416</v>
      </c>
      <c r="D66" s="7">
        <v>35</v>
      </c>
      <c r="E66" s="7">
        <v>7.09</v>
      </c>
      <c r="F66" s="7">
        <v>248.15</v>
      </c>
    </row>
    <row r="67" spans="1:6" x14ac:dyDescent="0.25">
      <c r="A67" t="s">
        <v>499</v>
      </c>
      <c r="B67" t="s">
        <v>500</v>
      </c>
      <c r="C67" t="s">
        <v>416</v>
      </c>
      <c r="D67" s="7">
        <v>60</v>
      </c>
      <c r="E67" s="7">
        <v>8.6999999999999993</v>
      </c>
      <c r="F67" s="7">
        <v>522</v>
      </c>
    </row>
    <row r="68" spans="1:6" x14ac:dyDescent="0.25">
      <c r="A68" t="s">
        <v>452</v>
      </c>
      <c r="B68" t="s">
        <v>453</v>
      </c>
      <c r="C68" t="s">
        <v>416</v>
      </c>
      <c r="D68" s="7">
        <v>4</v>
      </c>
      <c r="E68" s="7">
        <v>89.67</v>
      </c>
      <c r="F68" s="7">
        <v>358.68</v>
      </c>
    </row>
    <row r="69" spans="1:6" x14ac:dyDescent="0.25">
      <c r="A69" t="s">
        <v>454</v>
      </c>
      <c r="B69" t="s">
        <v>455</v>
      </c>
      <c r="C69" t="s">
        <v>416</v>
      </c>
      <c r="D69" s="7">
        <v>14</v>
      </c>
      <c r="E69" s="7">
        <v>0.8</v>
      </c>
      <c r="F69" s="7">
        <v>11.2</v>
      </c>
    </row>
    <row r="70" spans="1:6" x14ac:dyDescent="0.25">
      <c r="A70" t="s">
        <v>501</v>
      </c>
      <c r="B70" t="s">
        <v>502</v>
      </c>
      <c r="C70" t="s">
        <v>416</v>
      </c>
      <c r="D70" s="7">
        <v>1800</v>
      </c>
      <c r="E70" s="7">
        <v>0.64</v>
      </c>
      <c r="F70" s="7">
        <v>1152</v>
      </c>
    </row>
    <row r="71" spans="1:6" x14ac:dyDescent="0.25">
      <c r="A71" t="s">
        <v>503</v>
      </c>
      <c r="B71" t="s">
        <v>504</v>
      </c>
      <c r="C71" t="s">
        <v>416</v>
      </c>
      <c r="D71" s="7">
        <v>500</v>
      </c>
      <c r="E71" s="7">
        <v>4.67</v>
      </c>
      <c r="F71" s="7">
        <v>2335</v>
      </c>
    </row>
    <row r="72" spans="1:6" x14ac:dyDescent="0.25">
      <c r="A72" t="s">
        <v>505</v>
      </c>
      <c r="B72" t="s">
        <v>506</v>
      </c>
      <c r="C72"/>
      <c r="D72" s="7">
        <v>0</v>
      </c>
      <c r="E72" s="7">
        <v>48598.46</v>
      </c>
      <c r="F72" s="7"/>
    </row>
    <row r="73" spans="1:6" x14ac:dyDescent="0.25">
      <c r="A73" t="s">
        <v>507</v>
      </c>
      <c r="B73" t="s">
        <v>508</v>
      </c>
      <c r="C73" t="s">
        <v>416</v>
      </c>
      <c r="D73" s="7">
        <v>27</v>
      </c>
      <c r="E73" s="7">
        <v>62.91</v>
      </c>
      <c r="F73" s="7">
        <v>1698.57</v>
      </c>
    </row>
    <row r="74" spans="1:6" x14ac:dyDescent="0.25">
      <c r="A74" t="s">
        <v>509</v>
      </c>
      <c r="B74" t="s">
        <v>510</v>
      </c>
      <c r="C74" t="s">
        <v>416</v>
      </c>
      <c r="D74" s="7">
        <v>27</v>
      </c>
      <c r="E74" s="7">
        <v>28.15</v>
      </c>
      <c r="F74" s="7">
        <v>760.05</v>
      </c>
    </row>
    <row r="75" spans="1:6" x14ac:dyDescent="0.25">
      <c r="A75" t="s">
        <v>511</v>
      </c>
      <c r="B75" t="s">
        <v>512</v>
      </c>
      <c r="C75" t="s">
        <v>416</v>
      </c>
      <c r="D75" s="7">
        <v>50</v>
      </c>
      <c r="E75" s="7">
        <v>5.48</v>
      </c>
      <c r="F75" s="7">
        <v>274</v>
      </c>
    </row>
    <row r="76" spans="1:6" x14ac:dyDescent="0.25">
      <c r="A76" t="s">
        <v>513</v>
      </c>
      <c r="B76" t="s">
        <v>514</v>
      </c>
      <c r="C76" t="s">
        <v>515</v>
      </c>
      <c r="D76" s="7">
        <v>50</v>
      </c>
      <c r="E76" s="7">
        <v>20.2</v>
      </c>
      <c r="F76" s="7">
        <v>1010</v>
      </c>
    </row>
    <row r="77" spans="1:6" x14ac:dyDescent="0.25">
      <c r="A77" t="s">
        <v>516</v>
      </c>
      <c r="B77" t="s">
        <v>517</v>
      </c>
      <c r="C77" t="s">
        <v>391</v>
      </c>
      <c r="D77" s="7">
        <v>200</v>
      </c>
      <c r="E77" s="7">
        <v>11.71</v>
      </c>
      <c r="F77" s="7">
        <v>2342</v>
      </c>
    </row>
    <row r="78" spans="1:6" x14ac:dyDescent="0.25">
      <c r="A78" t="s">
        <v>518</v>
      </c>
      <c r="B78" t="s">
        <v>519</v>
      </c>
      <c r="C78" t="s">
        <v>416</v>
      </c>
      <c r="D78" s="7">
        <v>20</v>
      </c>
      <c r="E78" s="7">
        <v>15.41</v>
      </c>
      <c r="F78" s="7">
        <v>308.2</v>
      </c>
    </row>
    <row r="79" spans="1:6" x14ac:dyDescent="0.25">
      <c r="A79" t="s">
        <v>520</v>
      </c>
      <c r="B79" t="s">
        <v>521</v>
      </c>
      <c r="C79" t="s">
        <v>416</v>
      </c>
      <c r="D79" s="7">
        <v>40</v>
      </c>
      <c r="E79" s="7">
        <v>9.82</v>
      </c>
      <c r="F79" s="7">
        <v>392.8</v>
      </c>
    </row>
    <row r="80" spans="1:6" x14ac:dyDescent="0.25">
      <c r="A80" t="s">
        <v>522</v>
      </c>
      <c r="B80" t="s">
        <v>523</v>
      </c>
      <c r="C80" t="s">
        <v>416</v>
      </c>
      <c r="D80" s="7">
        <v>200</v>
      </c>
      <c r="E80" s="7">
        <v>7.99</v>
      </c>
      <c r="F80" s="7">
        <v>1598</v>
      </c>
    </row>
    <row r="81" spans="1:6" x14ac:dyDescent="0.25">
      <c r="A81" t="s">
        <v>524</v>
      </c>
      <c r="B81" t="s">
        <v>525</v>
      </c>
      <c r="C81" t="s">
        <v>416</v>
      </c>
      <c r="D81" s="7">
        <v>18</v>
      </c>
      <c r="E81" s="7">
        <v>67.739999999999995</v>
      </c>
      <c r="F81" s="7">
        <v>1219.32</v>
      </c>
    </row>
    <row r="82" spans="1:6" x14ac:dyDescent="0.25">
      <c r="A82" t="s">
        <v>526</v>
      </c>
      <c r="B82" t="s">
        <v>527</v>
      </c>
      <c r="C82" t="s">
        <v>416</v>
      </c>
      <c r="D82" s="7">
        <v>5</v>
      </c>
      <c r="E82" s="7">
        <v>18.25</v>
      </c>
      <c r="F82" s="7">
        <v>91.25</v>
      </c>
    </row>
    <row r="83" spans="1:6" x14ac:dyDescent="0.25">
      <c r="A83" t="s">
        <v>528</v>
      </c>
      <c r="B83" t="s">
        <v>529</v>
      </c>
      <c r="C83" t="s">
        <v>416</v>
      </c>
      <c r="D83" s="7">
        <v>18</v>
      </c>
      <c r="E83" s="7">
        <v>36.93</v>
      </c>
      <c r="F83" s="7">
        <v>664.74</v>
      </c>
    </row>
    <row r="84" spans="1:6" x14ac:dyDescent="0.25">
      <c r="A84" t="s">
        <v>530</v>
      </c>
      <c r="B84" t="s">
        <v>531</v>
      </c>
      <c r="C84" t="s">
        <v>416</v>
      </c>
      <c r="D84" s="7">
        <v>1</v>
      </c>
      <c r="E84" s="7">
        <v>45.11</v>
      </c>
      <c r="F84" s="7">
        <v>45.11</v>
      </c>
    </row>
    <row r="85" spans="1:6" x14ac:dyDescent="0.25">
      <c r="A85" t="s">
        <v>532</v>
      </c>
      <c r="B85" t="s">
        <v>533</v>
      </c>
      <c r="C85" t="s">
        <v>416</v>
      </c>
      <c r="D85" s="7">
        <v>1</v>
      </c>
      <c r="E85" s="7">
        <v>24.39</v>
      </c>
      <c r="F85" s="7">
        <v>24.39</v>
      </c>
    </row>
    <row r="86" spans="1:6" x14ac:dyDescent="0.25">
      <c r="A86" t="s">
        <v>534</v>
      </c>
      <c r="B86" t="s">
        <v>535</v>
      </c>
      <c r="C86" t="s">
        <v>416</v>
      </c>
      <c r="D86" s="7">
        <v>1</v>
      </c>
      <c r="E86" s="7">
        <v>75.739999999999995</v>
      </c>
      <c r="F86" s="7">
        <v>75.739999999999995</v>
      </c>
    </row>
    <row r="87" spans="1:6" x14ac:dyDescent="0.25">
      <c r="A87" t="s">
        <v>536</v>
      </c>
      <c r="B87" t="s">
        <v>537</v>
      </c>
      <c r="C87" t="s">
        <v>416</v>
      </c>
      <c r="D87" s="7">
        <v>1</v>
      </c>
      <c r="E87" s="7">
        <v>2096.2800000000002</v>
      </c>
      <c r="F87" s="7">
        <v>2096.2800000000002</v>
      </c>
    </row>
    <row r="88" spans="1:6" x14ac:dyDescent="0.25">
      <c r="A88" t="s">
        <v>538</v>
      </c>
      <c r="B88" t="s">
        <v>539</v>
      </c>
      <c r="C88" t="s">
        <v>540</v>
      </c>
      <c r="D88" s="7">
        <v>10</v>
      </c>
      <c r="E88" s="7">
        <v>8.25</v>
      </c>
      <c r="F88" s="7">
        <v>82.5</v>
      </c>
    </row>
    <row r="89" spans="1:6" x14ac:dyDescent="0.25">
      <c r="A89" t="s">
        <v>541</v>
      </c>
      <c r="B89" t="s">
        <v>542</v>
      </c>
      <c r="C89" t="s">
        <v>416</v>
      </c>
      <c r="D89" s="7">
        <v>2</v>
      </c>
      <c r="E89" s="7">
        <v>397.06</v>
      </c>
      <c r="F89" s="7">
        <v>794.12</v>
      </c>
    </row>
    <row r="90" spans="1:6" x14ac:dyDescent="0.25">
      <c r="A90" t="s">
        <v>543</v>
      </c>
      <c r="B90" t="s">
        <v>544</v>
      </c>
      <c r="C90" t="s">
        <v>416</v>
      </c>
      <c r="D90" s="7">
        <v>1</v>
      </c>
      <c r="E90" s="7">
        <v>1180.95</v>
      </c>
      <c r="F90" s="7">
        <v>1180.95</v>
      </c>
    </row>
    <row r="91" spans="1:6" x14ac:dyDescent="0.25">
      <c r="A91" t="s">
        <v>545</v>
      </c>
      <c r="B91" t="s">
        <v>546</v>
      </c>
      <c r="C91" t="s">
        <v>416</v>
      </c>
      <c r="D91" s="7">
        <v>1</v>
      </c>
      <c r="E91" s="7">
        <v>270.83999999999997</v>
      </c>
      <c r="F91" s="7">
        <v>270.83999999999997</v>
      </c>
    </row>
    <row r="92" spans="1:6" x14ac:dyDescent="0.25">
      <c r="A92" t="s">
        <v>547</v>
      </c>
      <c r="B92" t="s">
        <v>548</v>
      </c>
      <c r="C92" t="s">
        <v>416</v>
      </c>
      <c r="D92" s="7">
        <v>2</v>
      </c>
      <c r="E92" s="7">
        <v>1002.21</v>
      </c>
      <c r="F92" s="7">
        <v>2004.42</v>
      </c>
    </row>
    <row r="93" spans="1:6" x14ac:dyDescent="0.25">
      <c r="A93" t="s">
        <v>549</v>
      </c>
      <c r="B93" t="s">
        <v>550</v>
      </c>
      <c r="C93" t="s">
        <v>416</v>
      </c>
      <c r="D93" s="7">
        <v>28</v>
      </c>
      <c r="E93" s="7">
        <v>76.989999999999995</v>
      </c>
      <c r="F93" s="7">
        <v>2155.7199999999998</v>
      </c>
    </row>
    <row r="94" spans="1:6" x14ac:dyDescent="0.25">
      <c r="A94" t="s">
        <v>551</v>
      </c>
      <c r="B94" t="s">
        <v>552</v>
      </c>
      <c r="C94" t="s">
        <v>416</v>
      </c>
      <c r="D94" s="7">
        <v>80</v>
      </c>
      <c r="E94" s="7">
        <v>28.26</v>
      </c>
      <c r="F94" s="7">
        <v>2260.8000000000002</v>
      </c>
    </row>
    <row r="95" spans="1:6" x14ac:dyDescent="0.25">
      <c r="A95" t="s">
        <v>553</v>
      </c>
      <c r="B95" t="s">
        <v>554</v>
      </c>
      <c r="C95" t="s">
        <v>391</v>
      </c>
      <c r="D95" s="7">
        <v>550</v>
      </c>
      <c r="E95" s="7">
        <v>10.96</v>
      </c>
      <c r="F95" s="7">
        <v>6028</v>
      </c>
    </row>
    <row r="96" spans="1:6" x14ac:dyDescent="0.25">
      <c r="A96" t="s">
        <v>555</v>
      </c>
      <c r="B96" t="s">
        <v>556</v>
      </c>
      <c r="C96" t="s">
        <v>416</v>
      </c>
      <c r="D96" s="7">
        <v>8</v>
      </c>
      <c r="E96" s="7">
        <v>1828.47</v>
      </c>
      <c r="F96" s="7">
        <v>14627.76</v>
      </c>
    </row>
    <row r="97" spans="1:6" x14ac:dyDescent="0.25">
      <c r="A97" t="s">
        <v>421</v>
      </c>
      <c r="B97" t="s">
        <v>422</v>
      </c>
      <c r="C97" t="s">
        <v>391</v>
      </c>
      <c r="D97" s="7">
        <v>90</v>
      </c>
      <c r="E97" s="7">
        <v>52.21</v>
      </c>
      <c r="F97" s="7">
        <v>4698.8999999999996</v>
      </c>
    </row>
    <row r="98" spans="1:6" x14ac:dyDescent="0.25">
      <c r="A98" t="s">
        <v>501</v>
      </c>
      <c r="B98" t="s">
        <v>502</v>
      </c>
      <c r="C98" t="s">
        <v>416</v>
      </c>
      <c r="D98" s="7">
        <v>1500</v>
      </c>
      <c r="E98" s="7">
        <v>0.64</v>
      </c>
      <c r="F98" s="7">
        <v>960</v>
      </c>
    </row>
    <row r="99" spans="1:6" x14ac:dyDescent="0.25">
      <c r="A99" t="s">
        <v>503</v>
      </c>
      <c r="B99" t="s">
        <v>504</v>
      </c>
      <c r="C99" t="s">
        <v>416</v>
      </c>
      <c r="D99" s="7">
        <v>200</v>
      </c>
      <c r="E99" s="7">
        <v>4.67</v>
      </c>
      <c r="F99" s="7">
        <v>934</v>
      </c>
    </row>
    <row r="100" spans="1:6" x14ac:dyDescent="0.25">
      <c r="A100" t="s">
        <v>557</v>
      </c>
      <c r="B100" t="s">
        <v>558</v>
      </c>
      <c r="C100"/>
      <c r="D100" s="7">
        <v>0</v>
      </c>
      <c r="E100" s="7">
        <v>4868</v>
      </c>
      <c r="F100" s="7"/>
    </row>
    <row r="101" spans="1:6" x14ac:dyDescent="0.25">
      <c r="A101" t="s">
        <v>559</v>
      </c>
      <c r="B101" t="s">
        <v>560</v>
      </c>
      <c r="C101" t="s">
        <v>388</v>
      </c>
      <c r="D101" s="7">
        <v>50</v>
      </c>
      <c r="E101" s="7">
        <v>97.36</v>
      </c>
      <c r="F101" s="7">
        <v>4868</v>
      </c>
    </row>
    <row r="102" spans="1:6" x14ac:dyDescent="0.25">
      <c r="A102" t="s">
        <v>561</v>
      </c>
      <c r="B102" t="s">
        <v>562</v>
      </c>
      <c r="C102"/>
      <c r="D102" s="7">
        <v>0</v>
      </c>
      <c r="E102" s="7">
        <v>98915.55</v>
      </c>
      <c r="F102" s="7"/>
    </row>
    <row r="103" spans="1:6" x14ac:dyDescent="0.25">
      <c r="A103" t="s">
        <v>563</v>
      </c>
      <c r="B103" t="s">
        <v>564</v>
      </c>
      <c r="C103" t="s">
        <v>388</v>
      </c>
      <c r="D103" s="7">
        <v>450</v>
      </c>
      <c r="E103" s="7">
        <v>3.19</v>
      </c>
      <c r="F103" s="7">
        <v>1435.5</v>
      </c>
    </row>
    <row r="104" spans="1:6" x14ac:dyDescent="0.25">
      <c r="A104" t="s">
        <v>565</v>
      </c>
      <c r="B104" t="s">
        <v>566</v>
      </c>
      <c r="C104" t="s">
        <v>425</v>
      </c>
      <c r="D104" s="7">
        <v>350</v>
      </c>
      <c r="E104" s="7">
        <v>26.53</v>
      </c>
      <c r="F104" s="7">
        <v>9285.5</v>
      </c>
    </row>
    <row r="105" spans="1:6" x14ac:dyDescent="0.25">
      <c r="A105" t="s">
        <v>567</v>
      </c>
      <c r="B105" t="s">
        <v>568</v>
      </c>
      <c r="C105" t="s">
        <v>569</v>
      </c>
      <c r="D105" s="7">
        <v>7500</v>
      </c>
      <c r="E105" s="7">
        <v>2.0499999999999998</v>
      </c>
      <c r="F105" s="7">
        <v>15375</v>
      </c>
    </row>
    <row r="106" spans="1:6" x14ac:dyDescent="0.25">
      <c r="A106" t="s">
        <v>570</v>
      </c>
      <c r="B106" t="s">
        <v>571</v>
      </c>
      <c r="C106" t="s">
        <v>572</v>
      </c>
      <c r="D106" s="7">
        <v>12</v>
      </c>
      <c r="E106" s="7">
        <v>1269.4000000000001</v>
      </c>
      <c r="F106" s="7">
        <v>15232.8</v>
      </c>
    </row>
    <row r="107" spans="1:6" x14ac:dyDescent="0.25">
      <c r="A107" t="s">
        <v>573</v>
      </c>
      <c r="B107" t="s">
        <v>574</v>
      </c>
      <c r="C107" t="s">
        <v>425</v>
      </c>
      <c r="D107">
        <v>112.5</v>
      </c>
      <c r="E107" s="7">
        <v>110.58</v>
      </c>
      <c r="F107" s="7">
        <v>12440.25</v>
      </c>
    </row>
    <row r="108" spans="1:6" x14ac:dyDescent="0.25">
      <c r="A108" t="s">
        <v>575</v>
      </c>
      <c r="B108" t="s">
        <v>576</v>
      </c>
      <c r="C108" t="s">
        <v>577</v>
      </c>
      <c r="D108" s="7">
        <v>350</v>
      </c>
      <c r="E108" s="7">
        <v>21.66</v>
      </c>
      <c r="F108" s="7">
        <v>7581</v>
      </c>
    </row>
    <row r="109" spans="1:6" x14ac:dyDescent="0.25">
      <c r="A109" t="s">
        <v>578</v>
      </c>
      <c r="B109" t="s">
        <v>579</v>
      </c>
      <c r="C109" t="s">
        <v>577</v>
      </c>
      <c r="D109" s="7">
        <v>350</v>
      </c>
      <c r="E109" s="7">
        <v>13.79</v>
      </c>
      <c r="F109" s="7">
        <v>4826.5</v>
      </c>
    </row>
    <row r="110" spans="1:6" x14ac:dyDescent="0.25">
      <c r="A110" t="s">
        <v>580</v>
      </c>
      <c r="B110" t="s">
        <v>581</v>
      </c>
      <c r="C110" t="s">
        <v>577</v>
      </c>
      <c r="D110" s="7">
        <v>350</v>
      </c>
      <c r="E110" s="7">
        <v>28.4</v>
      </c>
      <c r="F110" s="7">
        <v>9940</v>
      </c>
    </row>
    <row r="111" spans="1:6" x14ac:dyDescent="0.25">
      <c r="A111" t="s">
        <v>582</v>
      </c>
      <c r="B111" t="s">
        <v>583</v>
      </c>
      <c r="C111" t="s">
        <v>577</v>
      </c>
      <c r="D111" s="7">
        <v>350</v>
      </c>
      <c r="E111" s="7">
        <v>18.07</v>
      </c>
      <c r="F111" s="7">
        <v>6324.5</v>
      </c>
    </row>
    <row r="112" spans="1:6" x14ac:dyDescent="0.25">
      <c r="A112" t="s">
        <v>584</v>
      </c>
      <c r="B112" t="s">
        <v>585</v>
      </c>
      <c r="C112" t="s">
        <v>577</v>
      </c>
      <c r="D112" s="7">
        <v>350</v>
      </c>
      <c r="E112" s="7">
        <v>28.77</v>
      </c>
      <c r="F112" s="7">
        <v>10069.5</v>
      </c>
    </row>
    <row r="113" spans="1:6" x14ac:dyDescent="0.25">
      <c r="A113" t="s">
        <v>586</v>
      </c>
      <c r="B113" t="s">
        <v>587</v>
      </c>
      <c r="C113" t="s">
        <v>577</v>
      </c>
      <c r="D113" s="7">
        <v>350</v>
      </c>
      <c r="E113" s="7">
        <v>18.3</v>
      </c>
      <c r="F113" s="7">
        <v>6405</v>
      </c>
    </row>
    <row r="114" spans="1:6" x14ac:dyDescent="0.25">
      <c r="A114">
        <v>2</v>
      </c>
      <c r="B114" t="s">
        <v>588</v>
      </c>
      <c r="C114"/>
      <c r="D114" s="7"/>
      <c r="E114" s="7">
        <v>31944.25</v>
      </c>
      <c r="F114" s="7"/>
    </row>
    <row r="115" spans="1:6" x14ac:dyDescent="0.25">
      <c r="A115" t="s">
        <v>589</v>
      </c>
      <c r="B115" t="s">
        <v>590</v>
      </c>
      <c r="C115"/>
      <c r="D115" s="7">
        <v>0</v>
      </c>
      <c r="E115" s="7">
        <v>31944.25</v>
      </c>
      <c r="F115" s="7"/>
    </row>
    <row r="116" spans="1:6" x14ac:dyDescent="0.25">
      <c r="A116" t="s">
        <v>591</v>
      </c>
      <c r="B116" t="s">
        <v>592</v>
      </c>
      <c r="C116" t="s">
        <v>416</v>
      </c>
      <c r="D116" s="7">
        <v>1</v>
      </c>
      <c r="E116" s="7">
        <v>31944.25</v>
      </c>
      <c r="F116" s="7">
        <v>31944.25</v>
      </c>
    </row>
    <row r="117" spans="1:6" x14ac:dyDescent="0.25">
      <c r="A117" s="9" t="s">
        <v>13</v>
      </c>
      <c r="B117" s="10" t="s">
        <v>14</v>
      </c>
      <c r="C117" s="8" t="s">
        <v>271</v>
      </c>
      <c r="D117" s="11" t="s">
        <v>15</v>
      </c>
    </row>
    <row r="118" spans="1:6" x14ac:dyDescent="0.25">
      <c r="A118" s="9" t="s">
        <v>16</v>
      </c>
      <c r="B118" s="10" t="s">
        <v>17</v>
      </c>
      <c r="C118" s="8" t="s">
        <v>272</v>
      </c>
      <c r="D118" s="11" t="s">
        <v>18</v>
      </c>
    </row>
    <row r="119" spans="1:6" x14ac:dyDescent="0.25">
      <c r="A119" s="9" t="s">
        <v>19</v>
      </c>
      <c r="B119" s="10" t="s">
        <v>20</v>
      </c>
      <c r="C119" s="8" t="s">
        <v>273</v>
      </c>
      <c r="D119" s="11" t="s">
        <v>21</v>
      </c>
    </row>
    <row r="120" spans="1:6" x14ac:dyDescent="0.25">
      <c r="A120" s="9" t="s">
        <v>22</v>
      </c>
      <c r="B120" s="10" t="s">
        <v>23</v>
      </c>
      <c r="C120" s="8" t="s">
        <v>274</v>
      </c>
      <c r="D120" s="11" t="s">
        <v>24</v>
      </c>
    </row>
    <row r="121" spans="1:6" x14ac:dyDescent="0.25">
      <c r="A121" s="9" t="s">
        <v>25</v>
      </c>
      <c r="B121" s="10" t="s">
        <v>26</v>
      </c>
      <c r="C121" s="8" t="s">
        <v>275</v>
      </c>
      <c r="D121" s="11" t="s">
        <v>27</v>
      </c>
    </row>
    <row r="122" spans="1:6" x14ac:dyDescent="0.25">
      <c r="A122" s="9" t="s">
        <v>28</v>
      </c>
      <c r="B122" s="10" t="s">
        <v>29</v>
      </c>
      <c r="C122" s="8" t="s">
        <v>276</v>
      </c>
      <c r="D122" s="11" t="s">
        <v>30</v>
      </c>
    </row>
    <row r="123" spans="1:6" x14ac:dyDescent="0.25">
      <c r="A123" s="9" t="s">
        <v>31</v>
      </c>
      <c r="B123" s="10" t="s">
        <v>32</v>
      </c>
      <c r="C123" s="8" t="s">
        <v>277</v>
      </c>
      <c r="D123" s="11" t="s">
        <v>33</v>
      </c>
    </row>
    <row r="124" spans="1:6" x14ac:dyDescent="0.25">
      <c r="A124" s="9" t="s">
        <v>34</v>
      </c>
      <c r="B124" s="10" t="s">
        <v>35</v>
      </c>
      <c r="C124" s="8" t="s">
        <v>278</v>
      </c>
      <c r="D124" s="11" t="s">
        <v>36</v>
      </c>
    </row>
    <row r="125" spans="1:6" x14ac:dyDescent="0.25">
      <c r="A125" s="9" t="s">
        <v>37</v>
      </c>
      <c r="B125" s="10" t="s">
        <v>38</v>
      </c>
      <c r="C125" s="8" t="s">
        <v>279</v>
      </c>
      <c r="D125" s="11" t="s">
        <v>39</v>
      </c>
    </row>
    <row r="126" spans="1:6" x14ac:dyDescent="0.25">
      <c r="A126" s="9" t="s">
        <v>40</v>
      </c>
      <c r="B126" s="10" t="s">
        <v>41</v>
      </c>
      <c r="C126" s="8" t="s">
        <v>280</v>
      </c>
      <c r="D126" s="11" t="s">
        <v>42</v>
      </c>
    </row>
    <row r="127" spans="1:6" x14ac:dyDescent="0.25">
      <c r="A127" s="9" t="s">
        <v>43</v>
      </c>
      <c r="B127" s="10" t="s">
        <v>44</v>
      </c>
      <c r="C127" s="8" t="s">
        <v>281</v>
      </c>
      <c r="D127" s="11" t="s">
        <v>45</v>
      </c>
    </row>
    <row r="128" spans="1:6" x14ac:dyDescent="0.25">
      <c r="A128" s="9" t="s">
        <v>46</v>
      </c>
      <c r="B128" s="10" t="s">
        <v>47</v>
      </c>
      <c r="C128" s="8" t="s">
        <v>282</v>
      </c>
      <c r="D128" s="11" t="s">
        <v>48</v>
      </c>
    </row>
    <row r="129" spans="1:4" x14ac:dyDescent="0.25">
      <c r="A129" s="9" t="s">
        <v>49</v>
      </c>
      <c r="B129" s="10" t="s">
        <v>50</v>
      </c>
      <c r="C129" s="8" t="s">
        <v>283</v>
      </c>
      <c r="D129" s="11" t="s">
        <v>51</v>
      </c>
    </row>
    <row r="130" spans="1:4" x14ac:dyDescent="0.25">
      <c r="A130" s="9" t="s">
        <v>52</v>
      </c>
      <c r="B130" s="10" t="s">
        <v>53</v>
      </c>
      <c r="C130" s="8" t="s">
        <v>284</v>
      </c>
      <c r="D130" s="11" t="s">
        <v>54</v>
      </c>
    </row>
    <row r="131" spans="1:4" x14ac:dyDescent="0.25">
      <c r="A131" s="9" t="s">
        <v>55</v>
      </c>
      <c r="B131" s="10" t="s">
        <v>56</v>
      </c>
      <c r="C131" s="8" t="s">
        <v>285</v>
      </c>
      <c r="D131" s="11" t="s">
        <v>57</v>
      </c>
    </row>
    <row r="132" spans="1:4" x14ac:dyDescent="0.25">
      <c r="A132" s="9" t="s">
        <v>58</v>
      </c>
      <c r="B132" s="10" t="s">
        <v>59</v>
      </c>
      <c r="C132" s="8" t="s">
        <v>286</v>
      </c>
      <c r="D132" s="11" t="s">
        <v>60</v>
      </c>
    </row>
    <row r="133" spans="1:4" x14ac:dyDescent="0.25">
      <c r="A133" s="9" t="s">
        <v>61</v>
      </c>
      <c r="B133" s="10" t="s">
        <v>62</v>
      </c>
      <c r="C133" s="8" t="s">
        <v>287</v>
      </c>
      <c r="D133" s="11" t="s">
        <v>63</v>
      </c>
    </row>
    <row r="134" spans="1:4" x14ac:dyDescent="0.25">
      <c r="A134" s="9" t="s">
        <v>64</v>
      </c>
      <c r="B134" s="10" t="s">
        <v>65</v>
      </c>
      <c r="C134" s="8" t="s">
        <v>288</v>
      </c>
      <c r="D134" s="11" t="s">
        <v>66</v>
      </c>
    </row>
    <row r="135" spans="1:4" x14ac:dyDescent="0.25">
      <c r="A135" s="9" t="s">
        <v>67</v>
      </c>
      <c r="B135" s="10" t="s">
        <v>68</v>
      </c>
      <c r="C135" s="8" t="s">
        <v>289</v>
      </c>
      <c r="D135" s="11" t="s">
        <v>69</v>
      </c>
    </row>
    <row r="136" spans="1:4" x14ac:dyDescent="0.25">
      <c r="A136" s="9" t="s">
        <v>70</v>
      </c>
      <c r="B136" s="10" t="s">
        <v>71</v>
      </c>
      <c r="C136" s="8" t="s">
        <v>290</v>
      </c>
      <c r="D136" s="11" t="s">
        <v>72</v>
      </c>
    </row>
    <row r="137" spans="1:4" x14ac:dyDescent="0.25">
      <c r="A137" s="9" t="s">
        <v>73</v>
      </c>
      <c r="B137" s="10" t="s">
        <v>74</v>
      </c>
      <c r="C137" s="8" t="s">
        <v>291</v>
      </c>
      <c r="D137" s="11" t="s">
        <v>75</v>
      </c>
    </row>
    <row r="138" spans="1:4" x14ac:dyDescent="0.25">
      <c r="A138" s="9" t="s">
        <v>76</v>
      </c>
      <c r="B138" s="10" t="s">
        <v>77</v>
      </c>
      <c r="C138" s="8" t="s">
        <v>292</v>
      </c>
      <c r="D138" s="11" t="s">
        <v>78</v>
      </c>
    </row>
    <row r="139" spans="1:4" x14ac:dyDescent="0.25">
      <c r="A139" s="9" t="s">
        <v>79</v>
      </c>
      <c r="B139" s="10" t="s">
        <v>80</v>
      </c>
      <c r="C139" s="8" t="s">
        <v>293</v>
      </c>
      <c r="D139" s="11" t="s">
        <v>81</v>
      </c>
    </row>
    <row r="140" spans="1:4" x14ac:dyDescent="0.25">
      <c r="A140" s="9" t="s">
        <v>82</v>
      </c>
      <c r="B140" s="10" t="s">
        <v>83</v>
      </c>
      <c r="C140" s="8" t="s">
        <v>294</v>
      </c>
      <c r="D140" s="11" t="s">
        <v>84</v>
      </c>
    </row>
    <row r="141" spans="1:4" x14ac:dyDescent="0.25">
      <c r="A141" s="9" t="s">
        <v>85</v>
      </c>
      <c r="B141" s="10" t="s">
        <v>86</v>
      </c>
      <c r="C141" s="8" t="s">
        <v>295</v>
      </c>
      <c r="D141" s="11" t="s">
        <v>87</v>
      </c>
    </row>
    <row r="142" spans="1:4" x14ac:dyDescent="0.25">
      <c r="A142" s="9" t="s">
        <v>88</v>
      </c>
      <c r="B142" s="10" t="s">
        <v>89</v>
      </c>
      <c r="C142" s="8" t="s">
        <v>296</v>
      </c>
      <c r="D142" s="11" t="s">
        <v>90</v>
      </c>
    </row>
    <row r="143" spans="1:4" x14ac:dyDescent="0.25">
      <c r="A143" s="9" t="s">
        <v>91</v>
      </c>
      <c r="B143" s="10" t="s">
        <v>92</v>
      </c>
      <c r="C143" s="8" t="s">
        <v>297</v>
      </c>
      <c r="D143" s="11" t="s">
        <v>93</v>
      </c>
    </row>
    <row r="144" spans="1:4" x14ac:dyDescent="0.25">
      <c r="A144" s="9" t="s">
        <v>94</v>
      </c>
      <c r="B144" s="10" t="s">
        <v>95</v>
      </c>
      <c r="C144" s="8" t="s">
        <v>298</v>
      </c>
      <c r="D144" s="11" t="s">
        <v>96</v>
      </c>
    </row>
    <row r="145" spans="1:4" x14ac:dyDescent="0.25">
      <c r="A145" s="9" t="s">
        <v>97</v>
      </c>
      <c r="B145" s="10" t="s">
        <v>98</v>
      </c>
      <c r="C145" s="8" t="s">
        <v>299</v>
      </c>
      <c r="D145" s="11" t="s">
        <v>99</v>
      </c>
    </row>
    <row r="146" spans="1:4" x14ac:dyDescent="0.25">
      <c r="A146" s="9" t="s">
        <v>100</v>
      </c>
      <c r="B146" s="10" t="s">
        <v>101</v>
      </c>
      <c r="C146" s="8" t="s">
        <v>300</v>
      </c>
      <c r="D146" s="11" t="s">
        <v>102</v>
      </c>
    </row>
    <row r="147" spans="1:4" x14ac:dyDescent="0.25">
      <c r="A147" s="9" t="s">
        <v>103</v>
      </c>
      <c r="B147" s="10" t="s">
        <v>104</v>
      </c>
      <c r="C147" s="8" t="s">
        <v>301</v>
      </c>
      <c r="D147" s="11" t="s">
        <v>105</v>
      </c>
    </row>
    <row r="148" spans="1:4" x14ac:dyDescent="0.25">
      <c r="A148" s="9" t="s">
        <v>106</v>
      </c>
      <c r="B148" s="10" t="s">
        <v>107</v>
      </c>
      <c r="C148" s="8" t="s">
        <v>302</v>
      </c>
      <c r="D148" s="11" t="s">
        <v>108</v>
      </c>
    </row>
    <row r="149" spans="1:4" x14ac:dyDescent="0.25">
      <c r="A149" s="9" t="s">
        <v>109</v>
      </c>
      <c r="B149" s="10" t="s">
        <v>110</v>
      </c>
      <c r="C149" s="8" t="s">
        <v>303</v>
      </c>
      <c r="D149" s="11" t="s">
        <v>111</v>
      </c>
    </row>
    <row r="150" spans="1:4" x14ac:dyDescent="0.25">
      <c r="A150" s="9" t="s">
        <v>112</v>
      </c>
      <c r="B150" s="10" t="s">
        <v>113</v>
      </c>
      <c r="C150" s="8" t="s">
        <v>304</v>
      </c>
      <c r="D150" s="11" t="s">
        <v>114</v>
      </c>
    </row>
    <row r="151" spans="1:4" x14ac:dyDescent="0.25">
      <c r="A151" s="9" t="s">
        <v>115</v>
      </c>
      <c r="B151" s="10" t="s">
        <v>116</v>
      </c>
      <c r="C151" s="8" t="s">
        <v>305</v>
      </c>
      <c r="D151" s="11" t="s">
        <v>117</v>
      </c>
    </row>
    <row r="152" spans="1:4" x14ac:dyDescent="0.25">
      <c r="A152" s="9" t="s">
        <v>118</v>
      </c>
      <c r="B152" s="10" t="s">
        <v>119</v>
      </c>
      <c r="C152" s="8" t="s">
        <v>306</v>
      </c>
      <c r="D152" s="11" t="s">
        <v>120</v>
      </c>
    </row>
    <row r="153" spans="1:4" x14ac:dyDescent="0.25">
      <c r="A153" s="9" t="s">
        <v>121</v>
      </c>
      <c r="B153" s="10" t="s">
        <v>122</v>
      </c>
      <c r="C153" s="8" t="s">
        <v>307</v>
      </c>
      <c r="D153" s="11" t="s">
        <v>123</v>
      </c>
    </row>
    <row r="154" spans="1:4" x14ac:dyDescent="0.25">
      <c r="A154" s="9" t="s">
        <v>124</v>
      </c>
      <c r="B154" s="10" t="s">
        <v>125</v>
      </c>
      <c r="C154" s="8" t="s">
        <v>308</v>
      </c>
      <c r="D154" s="11" t="s">
        <v>126</v>
      </c>
    </row>
    <row r="155" spans="1:4" x14ac:dyDescent="0.25">
      <c r="A155" s="9" t="s">
        <v>127</v>
      </c>
      <c r="B155" s="10" t="s">
        <v>128</v>
      </c>
      <c r="C155" s="8" t="s">
        <v>309</v>
      </c>
      <c r="D155" s="11" t="s">
        <v>129</v>
      </c>
    </row>
    <row r="156" spans="1:4" x14ac:dyDescent="0.25">
      <c r="A156" s="9" t="s">
        <v>130</v>
      </c>
      <c r="B156" s="10" t="s">
        <v>131</v>
      </c>
      <c r="C156" s="8" t="s">
        <v>310</v>
      </c>
      <c r="D156" s="11" t="s">
        <v>132</v>
      </c>
    </row>
    <row r="157" spans="1:4" x14ac:dyDescent="0.25">
      <c r="A157" s="9" t="s">
        <v>133</v>
      </c>
      <c r="B157" s="10" t="s">
        <v>134</v>
      </c>
      <c r="C157" s="8" t="s">
        <v>311</v>
      </c>
      <c r="D157" s="11" t="s">
        <v>135</v>
      </c>
    </row>
    <row r="158" spans="1:4" x14ac:dyDescent="0.25">
      <c r="A158" s="9" t="s">
        <v>136</v>
      </c>
      <c r="B158" s="10" t="s">
        <v>137</v>
      </c>
      <c r="C158" s="8" t="s">
        <v>312</v>
      </c>
      <c r="D158" s="11" t="s">
        <v>138</v>
      </c>
    </row>
    <row r="159" spans="1:4" x14ac:dyDescent="0.25">
      <c r="A159" s="9" t="s">
        <v>139</v>
      </c>
      <c r="B159" s="10" t="s">
        <v>140</v>
      </c>
      <c r="C159" s="8" t="s">
        <v>313</v>
      </c>
      <c r="D159" s="11" t="s">
        <v>141</v>
      </c>
    </row>
    <row r="160" spans="1:4" x14ac:dyDescent="0.25">
      <c r="A160" s="9" t="s">
        <v>142</v>
      </c>
      <c r="B160" s="10" t="s">
        <v>143</v>
      </c>
      <c r="C160" s="8" t="s">
        <v>314</v>
      </c>
      <c r="D160" s="11" t="s">
        <v>144</v>
      </c>
    </row>
    <row r="161" spans="1:4" x14ac:dyDescent="0.25">
      <c r="A161" s="9" t="s">
        <v>145</v>
      </c>
      <c r="B161" s="10" t="s">
        <v>146</v>
      </c>
      <c r="C161" s="8" t="s">
        <v>315</v>
      </c>
      <c r="D161" s="11" t="s">
        <v>147</v>
      </c>
    </row>
    <row r="162" spans="1:4" x14ac:dyDescent="0.25">
      <c r="A162" s="9" t="s">
        <v>148</v>
      </c>
      <c r="B162" s="10" t="s">
        <v>149</v>
      </c>
      <c r="C162" s="8" t="s">
        <v>316</v>
      </c>
      <c r="D162" s="11" t="s">
        <v>150</v>
      </c>
    </row>
    <row r="163" spans="1:4" x14ac:dyDescent="0.25">
      <c r="A163" s="9" t="s">
        <v>151</v>
      </c>
      <c r="B163" s="10" t="s">
        <v>152</v>
      </c>
      <c r="C163" s="8" t="s">
        <v>317</v>
      </c>
      <c r="D163" s="11" t="s">
        <v>153</v>
      </c>
    </row>
    <row r="164" spans="1:4" x14ac:dyDescent="0.25">
      <c r="A164" s="9" t="s">
        <v>154</v>
      </c>
      <c r="B164" s="10" t="s">
        <v>155</v>
      </c>
      <c r="C164" s="8" t="s">
        <v>318</v>
      </c>
      <c r="D164" s="11" t="s">
        <v>156</v>
      </c>
    </row>
    <row r="165" spans="1:4" x14ac:dyDescent="0.25">
      <c r="A165" s="9" t="s">
        <v>157</v>
      </c>
      <c r="B165" s="10" t="s">
        <v>158</v>
      </c>
      <c r="C165" s="8" t="s">
        <v>319</v>
      </c>
      <c r="D165" s="11" t="s">
        <v>159</v>
      </c>
    </row>
    <row r="166" spans="1:4" x14ac:dyDescent="0.25">
      <c r="A166" s="9" t="s">
        <v>160</v>
      </c>
      <c r="B166" s="10" t="s">
        <v>161</v>
      </c>
      <c r="C166" s="8" t="s">
        <v>320</v>
      </c>
      <c r="D166" s="11" t="s">
        <v>162</v>
      </c>
    </row>
    <row r="167" spans="1:4" x14ac:dyDescent="0.25">
      <c r="A167" s="9" t="s">
        <v>163</v>
      </c>
      <c r="B167" s="10" t="s">
        <v>164</v>
      </c>
      <c r="C167" s="8" t="s">
        <v>321</v>
      </c>
      <c r="D167" s="11" t="s">
        <v>165</v>
      </c>
    </row>
    <row r="168" spans="1:4" x14ac:dyDescent="0.25">
      <c r="A168" s="9" t="s">
        <v>166</v>
      </c>
      <c r="B168" s="10" t="s">
        <v>167</v>
      </c>
      <c r="C168" s="8" t="s">
        <v>322</v>
      </c>
      <c r="D168" s="11" t="s">
        <v>168</v>
      </c>
    </row>
    <row r="169" spans="1:4" x14ac:dyDescent="0.25">
      <c r="A169" s="9" t="s">
        <v>169</v>
      </c>
      <c r="B169" s="10" t="s">
        <v>170</v>
      </c>
      <c r="C169" s="8" t="s">
        <v>323</v>
      </c>
      <c r="D169" s="11" t="s">
        <v>171</v>
      </c>
    </row>
    <row r="170" spans="1:4" x14ac:dyDescent="0.25">
      <c r="A170" s="9" t="s">
        <v>172</v>
      </c>
      <c r="B170" s="10" t="s">
        <v>173</v>
      </c>
      <c r="C170" s="8" t="s">
        <v>324</v>
      </c>
      <c r="D170" s="11" t="s">
        <v>174</v>
      </c>
    </row>
    <row r="171" spans="1:4" x14ac:dyDescent="0.25">
      <c r="A171" s="9" t="s">
        <v>175</v>
      </c>
      <c r="B171" s="10" t="s">
        <v>176</v>
      </c>
      <c r="C171" s="8" t="s">
        <v>325</v>
      </c>
      <c r="D171" s="11" t="s">
        <v>177</v>
      </c>
    </row>
    <row r="172" spans="1:4" x14ac:dyDescent="0.25">
      <c r="A172" s="9" t="s">
        <v>178</v>
      </c>
      <c r="B172" s="10" t="s">
        <v>179</v>
      </c>
      <c r="C172" s="8" t="s">
        <v>326</v>
      </c>
      <c r="D172" s="11" t="s">
        <v>180</v>
      </c>
    </row>
    <row r="173" spans="1:4" x14ac:dyDescent="0.25">
      <c r="A173" s="9" t="s">
        <v>181</v>
      </c>
      <c r="B173" s="10" t="s">
        <v>182</v>
      </c>
      <c r="C173" s="8" t="s">
        <v>327</v>
      </c>
      <c r="D173" s="11" t="s">
        <v>183</v>
      </c>
    </row>
    <row r="174" spans="1:4" x14ac:dyDescent="0.25">
      <c r="A174" s="9" t="s">
        <v>184</v>
      </c>
      <c r="B174" s="10" t="s">
        <v>185</v>
      </c>
      <c r="C174" s="8" t="s">
        <v>328</v>
      </c>
      <c r="D174" s="11" t="s">
        <v>186</v>
      </c>
    </row>
    <row r="175" spans="1:4" x14ac:dyDescent="0.25">
      <c r="A175" s="9" t="s">
        <v>187</v>
      </c>
      <c r="B175" s="10" t="s">
        <v>188</v>
      </c>
      <c r="C175" s="8" t="s">
        <v>329</v>
      </c>
      <c r="D175" s="11" t="s">
        <v>189</v>
      </c>
    </row>
    <row r="176" spans="1:4" x14ac:dyDescent="0.25">
      <c r="A176" s="9" t="s">
        <v>190</v>
      </c>
      <c r="B176" s="10" t="s">
        <v>191</v>
      </c>
      <c r="C176" s="8" t="s">
        <v>330</v>
      </c>
      <c r="D176" s="11" t="s">
        <v>192</v>
      </c>
    </row>
    <row r="177" spans="1:4" x14ac:dyDescent="0.25">
      <c r="A177" s="9" t="s">
        <v>193</v>
      </c>
      <c r="B177" s="10" t="s">
        <v>194</v>
      </c>
      <c r="C177" s="8" t="s">
        <v>331</v>
      </c>
      <c r="D177" s="11" t="s">
        <v>195</v>
      </c>
    </row>
    <row r="178" spans="1:4" x14ac:dyDescent="0.25">
      <c r="A178" s="9" t="s">
        <v>196</v>
      </c>
      <c r="B178" s="10" t="s">
        <v>197</v>
      </c>
      <c r="C178" s="8" t="s">
        <v>332</v>
      </c>
      <c r="D178" s="11" t="s">
        <v>198</v>
      </c>
    </row>
    <row r="179" spans="1:4" x14ac:dyDescent="0.25">
      <c r="A179" s="9" t="s">
        <v>199</v>
      </c>
      <c r="B179" s="10" t="s">
        <v>200</v>
      </c>
      <c r="C179" s="8" t="s">
        <v>333</v>
      </c>
      <c r="D179" s="11" t="s">
        <v>201</v>
      </c>
    </row>
    <row r="180" spans="1:4" x14ac:dyDescent="0.25">
      <c r="A180" s="9" t="s">
        <v>202</v>
      </c>
      <c r="B180" s="10" t="s">
        <v>203</v>
      </c>
      <c r="C180" s="8" t="s">
        <v>334</v>
      </c>
      <c r="D180" s="11" t="s">
        <v>204</v>
      </c>
    </row>
    <row r="181" spans="1:4" x14ac:dyDescent="0.25">
      <c r="A181" s="9" t="s">
        <v>205</v>
      </c>
      <c r="B181" s="10" t="s">
        <v>206</v>
      </c>
      <c r="C181" s="8" t="s">
        <v>335</v>
      </c>
      <c r="D181" s="11" t="s">
        <v>207</v>
      </c>
    </row>
    <row r="182" spans="1:4" x14ac:dyDescent="0.25">
      <c r="A182" s="9" t="s">
        <v>208</v>
      </c>
      <c r="B182" s="10" t="s">
        <v>209</v>
      </c>
      <c r="C182" s="8" t="s">
        <v>336</v>
      </c>
      <c r="D182" s="11" t="s">
        <v>210</v>
      </c>
    </row>
    <row r="183" spans="1:4" x14ac:dyDescent="0.25">
      <c r="A183" s="9" t="s">
        <v>211</v>
      </c>
      <c r="B183" s="10" t="s">
        <v>212</v>
      </c>
      <c r="C183" s="8" t="s">
        <v>337</v>
      </c>
      <c r="D183" s="11" t="s">
        <v>213</v>
      </c>
    </row>
    <row r="184" spans="1:4" x14ac:dyDescent="0.25">
      <c r="A184" s="9" t="s">
        <v>214</v>
      </c>
      <c r="B184" s="10" t="s">
        <v>215</v>
      </c>
      <c r="C184" s="8" t="s">
        <v>338</v>
      </c>
      <c r="D184" s="11" t="s">
        <v>216</v>
      </c>
    </row>
    <row r="185" spans="1:4" x14ac:dyDescent="0.25">
      <c r="A185" s="9" t="s">
        <v>217</v>
      </c>
      <c r="B185" s="10" t="s">
        <v>218</v>
      </c>
      <c r="C185" s="8" t="s">
        <v>339</v>
      </c>
      <c r="D185" s="11" t="s">
        <v>219</v>
      </c>
    </row>
    <row r="186" spans="1:4" x14ac:dyDescent="0.25">
      <c r="A186" s="9" t="s">
        <v>220</v>
      </c>
      <c r="B186" s="10" t="s">
        <v>221</v>
      </c>
      <c r="C186" s="8" t="s">
        <v>340</v>
      </c>
      <c r="D186" s="11" t="s">
        <v>222</v>
      </c>
    </row>
    <row r="187" spans="1:4" x14ac:dyDescent="0.25">
      <c r="A187" s="9" t="s">
        <v>223</v>
      </c>
      <c r="B187" s="10" t="s">
        <v>224</v>
      </c>
      <c r="C187" s="8" t="s">
        <v>341</v>
      </c>
      <c r="D187" s="11" t="s">
        <v>225</v>
      </c>
    </row>
    <row r="188" spans="1:4" x14ac:dyDescent="0.25">
      <c r="A188" s="9" t="s">
        <v>226</v>
      </c>
      <c r="B188" s="10" t="s">
        <v>227</v>
      </c>
      <c r="C188" s="8" t="s">
        <v>342</v>
      </c>
      <c r="D188" s="11" t="s">
        <v>228</v>
      </c>
    </row>
    <row r="189" spans="1:4" x14ac:dyDescent="0.25">
      <c r="A189" s="9" t="s">
        <v>229</v>
      </c>
      <c r="B189" s="10" t="s">
        <v>230</v>
      </c>
      <c r="C189" s="8" t="s">
        <v>343</v>
      </c>
      <c r="D189" s="11" t="s">
        <v>231</v>
      </c>
    </row>
    <row r="190" spans="1:4" x14ac:dyDescent="0.25">
      <c r="A190" s="9" t="s">
        <v>232</v>
      </c>
      <c r="B190" s="10" t="s">
        <v>233</v>
      </c>
      <c r="C190" s="8" t="s">
        <v>344</v>
      </c>
      <c r="D190" s="11" t="s">
        <v>234</v>
      </c>
    </row>
    <row r="191" spans="1:4" x14ac:dyDescent="0.25">
      <c r="A191" s="9" t="s">
        <v>235</v>
      </c>
      <c r="B191" s="10" t="s">
        <v>236</v>
      </c>
      <c r="C191" s="8" t="s">
        <v>345</v>
      </c>
      <c r="D191" s="11" t="s">
        <v>237</v>
      </c>
    </row>
    <row r="192" spans="1:4" x14ac:dyDescent="0.25">
      <c r="A192" s="9" t="s">
        <v>238</v>
      </c>
      <c r="B192" s="10" t="s">
        <v>239</v>
      </c>
      <c r="C192" s="8" t="s">
        <v>346</v>
      </c>
      <c r="D192" s="11" t="s">
        <v>240</v>
      </c>
    </row>
    <row r="193" spans="1:4" x14ac:dyDescent="0.25">
      <c r="A193" s="9" t="s">
        <v>241</v>
      </c>
      <c r="B193" s="10" t="s">
        <v>242</v>
      </c>
      <c r="C193" s="8" t="s">
        <v>347</v>
      </c>
      <c r="D193" s="11" t="s">
        <v>243</v>
      </c>
    </row>
    <row r="194" spans="1:4" x14ac:dyDescent="0.25">
      <c r="A194" s="9" t="s">
        <v>244</v>
      </c>
      <c r="B194" s="10" t="s">
        <v>245</v>
      </c>
      <c r="C194" s="8" t="s">
        <v>348</v>
      </c>
      <c r="D194" s="11" t="s">
        <v>246</v>
      </c>
    </row>
    <row r="195" spans="1:4" x14ac:dyDescent="0.25">
      <c r="A195" s="9" t="s">
        <v>247</v>
      </c>
      <c r="B195" s="10" t="s">
        <v>248</v>
      </c>
      <c r="C195" s="8" t="s">
        <v>349</v>
      </c>
      <c r="D195" s="11" t="s">
        <v>249</v>
      </c>
    </row>
    <row r="196" spans="1:4" x14ac:dyDescent="0.25">
      <c r="A196" s="9" t="s">
        <v>250</v>
      </c>
      <c r="B196" s="10" t="s">
        <v>251</v>
      </c>
      <c r="C196" s="8" t="s">
        <v>350</v>
      </c>
      <c r="D196" s="11" t="s">
        <v>252</v>
      </c>
    </row>
    <row r="197" spans="1:4" x14ac:dyDescent="0.25">
      <c r="A197" s="9" t="s">
        <v>253</v>
      </c>
      <c r="B197" s="10" t="s">
        <v>254</v>
      </c>
      <c r="C197" s="8" t="s">
        <v>351</v>
      </c>
      <c r="D197" s="11" t="s">
        <v>255</v>
      </c>
    </row>
    <row r="198" spans="1:4" x14ac:dyDescent="0.25">
      <c r="A198" s="9" t="s">
        <v>256</v>
      </c>
      <c r="B198" s="10" t="s">
        <v>257</v>
      </c>
      <c r="C198" s="8" t="s">
        <v>352</v>
      </c>
      <c r="D198" s="11" t="s">
        <v>258</v>
      </c>
    </row>
    <row r="199" spans="1:4" x14ac:dyDescent="0.25">
      <c r="A199" s="9" t="s">
        <v>259</v>
      </c>
      <c r="B199" s="10" t="s">
        <v>260</v>
      </c>
      <c r="C199" s="8" t="s">
        <v>353</v>
      </c>
      <c r="D199" s="11" t="s">
        <v>261</v>
      </c>
    </row>
    <row r="200" spans="1:4" x14ac:dyDescent="0.25">
      <c r="A200" s="9" t="s">
        <v>262</v>
      </c>
      <c r="B200" s="10" t="s">
        <v>263</v>
      </c>
      <c r="C200" s="8" t="s">
        <v>354</v>
      </c>
      <c r="D200" s="11" t="s">
        <v>264</v>
      </c>
    </row>
    <row r="201" spans="1:4" x14ac:dyDescent="0.25">
      <c r="A201" s="9" t="s">
        <v>265</v>
      </c>
      <c r="B201" s="10" t="s">
        <v>266</v>
      </c>
      <c r="C201" s="8" t="s">
        <v>355</v>
      </c>
      <c r="D201" s="11" t="s">
        <v>267</v>
      </c>
    </row>
    <row r="202" spans="1:4" x14ac:dyDescent="0.25">
      <c r="A202" s="9" t="s">
        <v>268</v>
      </c>
      <c r="B202" s="10" t="s">
        <v>269</v>
      </c>
      <c r="C202" s="8" t="s">
        <v>356</v>
      </c>
      <c r="D202" s="11" t="s">
        <v>270</v>
      </c>
    </row>
    <row r="204" spans="1:4" ht="13.8" x14ac:dyDescent="0.25">
      <c r="D204" s="12">
        <f>SUM(D3:D202)</f>
        <v>21198.5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S110"/>
  <sheetViews>
    <sheetView topLeftCell="A14" workbookViewId="0">
      <selection activeCell="A38" sqref="A38"/>
    </sheetView>
  </sheetViews>
  <sheetFormatPr defaultColWidth="9.109375" defaultRowHeight="14.4" x14ac:dyDescent="0.3"/>
  <cols>
    <col min="1" max="1" width="53" style="30" customWidth="1"/>
    <col min="2" max="2" width="12.77734375" style="30" customWidth="1"/>
    <col min="3" max="3" width="10.44140625" style="30" customWidth="1"/>
    <col min="4" max="8" width="4.6640625" style="30" customWidth="1"/>
    <col min="9" max="9" width="5.44140625" style="30" customWidth="1"/>
    <col min="10" max="10" width="5.88671875" style="30" customWidth="1"/>
    <col min="11" max="11" width="6.109375" style="30" customWidth="1"/>
    <col min="12" max="12" width="9.109375" style="30"/>
    <col min="13" max="13" width="11.44140625" style="30" customWidth="1"/>
    <col min="14" max="14" width="9.109375" style="30"/>
    <col min="15" max="19" width="4.6640625" style="30" customWidth="1"/>
    <col min="20" max="16384" width="9.109375" style="30"/>
  </cols>
  <sheetData>
    <row r="2" spans="1:19" ht="21" x14ac:dyDescent="0.4">
      <c r="A2" s="59" t="s">
        <v>357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</row>
    <row r="4" spans="1:19" ht="15" customHeight="1" x14ac:dyDescent="0.3">
      <c r="A4" s="60" t="s">
        <v>358</v>
      </c>
      <c r="B4" s="60" t="s">
        <v>359</v>
      </c>
      <c r="C4" s="60" t="s">
        <v>360</v>
      </c>
      <c r="D4" s="58" t="s">
        <v>361</v>
      </c>
      <c r="E4" s="58"/>
      <c r="F4" s="58"/>
      <c r="G4" s="58"/>
      <c r="H4" s="58"/>
      <c r="I4" s="61" t="s">
        <v>362</v>
      </c>
      <c r="J4" s="61"/>
      <c r="K4" s="62" t="s">
        <v>363</v>
      </c>
      <c r="L4" s="61" t="s">
        <v>364</v>
      </c>
      <c r="M4" s="61" t="s">
        <v>365</v>
      </c>
      <c r="N4" s="61" t="s">
        <v>366</v>
      </c>
      <c r="O4" s="58" t="s">
        <v>361</v>
      </c>
      <c r="P4" s="58"/>
      <c r="Q4" s="58"/>
      <c r="R4" s="58"/>
      <c r="S4" s="58"/>
    </row>
    <row r="5" spans="1:19" ht="73.8" x14ac:dyDescent="0.3">
      <c r="A5" s="60"/>
      <c r="B5" s="60"/>
      <c r="C5" s="60"/>
      <c r="D5" s="31" t="s">
        <v>367</v>
      </c>
      <c r="E5" s="31" t="s">
        <v>368</v>
      </c>
      <c r="F5" s="31" t="s">
        <v>369</v>
      </c>
      <c r="G5" s="31" t="s">
        <v>370</v>
      </c>
      <c r="H5" s="31" t="s">
        <v>371</v>
      </c>
      <c r="I5" s="61"/>
      <c r="J5" s="61"/>
      <c r="K5" s="62"/>
      <c r="L5" s="61"/>
      <c r="M5" s="61"/>
      <c r="N5" s="61"/>
      <c r="O5" s="31" t="s">
        <v>367</v>
      </c>
      <c r="P5" s="31" t="s">
        <v>368</v>
      </c>
      <c r="Q5" s="31" t="s">
        <v>369</v>
      </c>
      <c r="R5" s="31" t="s">
        <v>370</v>
      </c>
      <c r="S5" s="31" t="s">
        <v>371</v>
      </c>
    </row>
    <row r="6" spans="1:19" x14ac:dyDescent="0.3">
      <c r="A6" s="32" t="s">
        <v>372</v>
      </c>
      <c r="B6" s="33" t="s">
        <v>373</v>
      </c>
      <c r="C6" s="33">
        <v>190</v>
      </c>
      <c r="D6" s="33"/>
      <c r="E6" s="33"/>
      <c r="F6" s="33"/>
      <c r="G6" s="33"/>
      <c r="H6" s="33">
        <v>2</v>
      </c>
      <c r="I6" s="34">
        <v>2</v>
      </c>
      <c r="J6" s="33" t="s">
        <v>374</v>
      </c>
      <c r="K6" s="33">
        <v>8</v>
      </c>
      <c r="L6" s="35">
        <f>ROUNDUP((C6*I6)/K6,0)</f>
        <v>48</v>
      </c>
      <c r="M6" s="33">
        <v>10</v>
      </c>
      <c r="N6" s="35">
        <f>L6/M6</f>
        <v>4.8</v>
      </c>
      <c r="O6" s="36">
        <f>N6*D6</f>
        <v>0</v>
      </c>
      <c r="P6" s="36">
        <f>N6*E6</f>
        <v>0</v>
      </c>
      <c r="Q6" s="36">
        <f>N6*F6</f>
        <v>0</v>
      </c>
      <c r="R6" s="36">
        <f>N6*G6</f>
        <v>0</v>
      </c>
      <c r="S6" s="36">
        <f>N6*H6</f>
        <v>9.6</v>
      </c>
    </row>
    <row r="7" spans="1:19" x14ac:dyDescent="0.3">
      <c r="A7" s="32" t="s">
        <v>375</v>
      </c>
      <c r="B7" s="33" t="s">
        <v>376</v>
      </c>
      <c r="C7" s="33">
        <v>320</v>
      </c>
      <c r="D7" s="33"/>
      <c r="E7" s="33">
        <v>1</v>
      </c>
      <c r="F7" s="33"/>
      <c r="G7" s="33">
        <v>1</v>
      </c>
      <c r="H7" s="33"/>
      <c r="I7" s="34">
        <v>1</v>
      </c>
      <c r="J7" s="33" t="s">
        <v>377</v>
      </c>
      <c r="K7" s="33">
        <v>8</v>
      </c>
      <c r="L7" s="35">
        <f t="shared" ref="L7:L9" si="0">ROUNDUP((C7*I7)/K7,0)</f>
        <v>40</v>
      </c>
      <c r="M7" s="33">
        <v>5</v>
      </c>
      <c r="N7" s="35">
        <f t="shared" ref="N7:N9" si="1">L7/M7</f>
        <v>8</v>
      </c>
      <c r="O7" s="36">
        <f t="shared" ref="O7:O9" si="2">N7*D7</f>
        <v>0</v>
      </c>
      <c r="P7" s="36">
        <f t="shared" ref="P7:P9" si="3">N7*E7</f>
        <v>8</v>
      </c>
      <c r="Q7" s="36">
        <f t="shared" ref="Q7:Q9" si="4">N7*F7</f>
        <v>0</v>
      </c>
      <c r="R7" s="36">
        <f t="shared" ref="R7:R9" si="5">N7*G7</f>
        <v>8</v>
      </c>
      <c r="S7" s="36">
        <f t="shared" ref="S7:S9" si="6">N7*H7</f>
        <v>0</v>
      </c>
    </row>
    <row r="8" spans="1:19" x14ac:dyDescent="0.3">
      <c r="A8" s="32" t="s">
        <v>378</v>
      </c>
      <c r="B8" s="33" t="s">
        <v>379</v>
      </c>
      <c r="C8" s="33">
        <v>6000</v>
      </c>
      <c r="D8" s="33"/>
      <c r="E8" s="33"/>
      <c r="F8" s="33">
        <v>1</v>
      </c>
      <c r="G8" s="33">
        <v>1</v>
      </c>
      <c r="H8" s="33"/>
      <c r="I8" s="34">
        <v>0.08</v>
      </c>
      <c r="J8" s="33" t="s">
        <v>380</v>
      </c>
      <c r="K8" s="33">
        <v>8</v>
      </c>
      <c r="L8" s="35">
        <f t="shared" si="0"/>
        <v>60</v>
      </c>
      <c r="M8" s="33">
        <v>12</v>
      </c>
      <c r="N8" s="35">
        <f t="shared" si="1"/>
        <v>5</v>
      </c>
      <c r="O8" s="36">
        <f t="shared" si="2"/>
        <v>0</v>
      </c>
      <c r="P8" s="36">
        <f t="shared" si="3"/>
        <v>0</v>
      </c>
      <c r="Q8" s="36">
        <f t="shared" si="4"/>
        <v>5</v>
      </c>
      <c r="R8" s="36">
        <f t="shared" si="5"/>
        <v>5</v>
      </c>
      <c r="S8" s="36">
        <f t="shared" si="6"/>
        <v>0</v>
      </c>
    </row>
    <row r="9" spans="1:19" x14ac:dyDescent="0.3">
      <c r="A9" s="32" t="s">
        <v>381</v>
      </c>
      <c r="B9" s="33" t="s">
        <v>373</v>
      </c>
      <c r="C9" s="33">
        <v>40</v>
      </c>
      <c r="D9" s="33">
        <v>1</v>
      </c>
      <c r="E9" s="33"/>
      <c r="F9" s="33"/>
      <c r="G9" s="33"/>
      <c r="H9" s="33">
        <v>8</v>
      </c>
      <c r="I9" s="34">
        <v>8</v>
      </c>
      <c r="J9" s="33" t="s">
        <v>374</v>
      </c>
      <c r="K9" s="33">
        <v>8</v>
      </c>
      <c r="L9" s="35">
        <f t="shared" si="0"/>
        <v>40</v>
      </c>
      <c r="M9" s="33">
        <v>8</v>
      </c>
      <c r="N9" s="35">
        <f t="shared" si="1"/>
        <v>5</v>
      </c>
      <c r="O9" s="36">
        <f t="shared" si="2"/>
        <v>5</v>
      </c>
      <c r="P9" s="36">
        <f t="shared" si="3"/>
        <v>0</v>
      </c>
      <c r="Q9" s="36">
        <f t="shared" si="4"/>
        <v>0</v>
      </c>
      <c r="R9" s="36">
        <f t="shared" si="5"/>
        <v>0</v>
      </c>
      <c r="S9" s="36">
        <f t="shared" si="6"/>
        <v>40</v>
      </c>
    </row>
    <row r="10" spans="1:19" x14ac:dyDescent="0.3">
      <c r="A10" s="32" t="str">
        <f>MASTER!B2</f>
        <v>COMPLEMENTO</v>
      </c>
      <c r="B10" s="33">
        <f>MASTER!C2</f>
        <v>0</v>
      </c>
      <c r="C10" s="33">
        <f>MASTER!D2</f>
        <v>0</v>
      </c>
      <c r="D10" s="34"/>
      <c r="E10" s="34"/>
      <c r="F10" s="34"/>
      <c r="G10" s="34"/>
      <c r="H10" s="34"/>
      <c r="I10" s="34"/>
      <c r="J10" s="34"/>
      <c r="K10" s="33"/>
      <c r="L10" s="34"/>
      <c r="M10" s="34"/>
      <c r="N10" s="34"/>
      <c r="O10" s="34"/>
      <c r="P10" s="34"/>
      <c r="Q10" s="34"/>
      <c r="R10" s="34"/>
      <c r="S10" s="34"/>
    </row>
    <row r="11" spans="1:19" x14ac:dyDescent="0.3">
      <c r="A11" s="32" t="str">
        <f>MASTER!B3</f>
        <v>REMO€ÇO DE FORRO DE GESSO, DE FORMA MANUAL, SEM REAPROVEITAMENTO. AF_09/2023 CS: 97641</v>
      </c>
      <c r="B11" s="33" t="str">
        <f>MASTER!C3</f>
        <v>M2</v>
      </c>
      <c r="C11" s="33">
        <f>MASTER!D3</f>
        <v>220</v>
      </c>
      <c r="D11" s="34"/>
      <c r="E11" s="34"/>
      <c r="F11" s="34"/>
      <c r="G11" s="34"/>
      <c r="H11" s="34"/>
      <c r="I11" s="34"/>
      <c r="J11" s="34"/>
      <c r="K11" s="33"/>
      <c r="L11" s="34"/>
      <c r="M11" s="34"/>
      <c r="N11" s="34"/>
      <c r="O11" s="34"/>
      <c r="P11" s="34"/>
      <c r="Q11" s="34"/>
      <c r="R11" s="34"/>
      <c r="S11" s="34"/>
    </row>
    <row r="12" spans="1:19" x14ac:dyDescent="0.3">
      <c r="A12" s="32" t="str">
        <f>MASTER!B4</f>
        <v>RODAP EM MARMORITE, ALTURA 10CM. AF_09/2020 CS: 101741</v>
      </c>
      <c r="B12" s="33" t="str">
        <f>MASTER!C4</f>
        <v>M</v>
      </c>
      <c r="C12" s="33">
        <f>MASTER!D4</f>
        <v>60</v>
      </c>
      <c r="D12" s="34"/>
      <c r="E12" s="34"/>
      <c r="F12" s="34"/>
      <c r="G12" s="34"/>
      <c r="H12" s="34"/>
      <c r="I12" s="34"/>
      <c r="J12" s="34"/>
      <c r="K12" s="33"/>
      <c r="L12" s="34"/>
      <c r="M12" s="34"/>
      <c r="N12" s="34"/>
      <c r="O12" s="34"/>
      <c r="P12" s="34"/>
      <c r="Q12" s="34"/>
      <c r="R12" s="34"/>
      <c r="S12" s="34"/>
    </row>
    <row r="13" spans="1:19" x14ac:dyDescent="0.3">
      <c r="A13" s="32" t="str">
        <f>MASTER!B5</f>
        <v>FORRO</v>
      </c>
      <c r="B13" s="33">
        <f>MASTER!C5</f>
        <v>0</v>
      </c>
      <c r="C13" s="33">
        <f>MASTER!D5</f>
        <v>0</v>
      </c>
      <c r="D13" s="34"/>
      <c r="E13" s="34"/>
      <c r="F13" s="34"/>
      <c r="G13" s="34"/>
      <c r="H13" s="34"/>
      <c r="I13" s="34"/>
      <c r="J13" s="34"/>
      <c r="K13" s="33"/>
      <c r="L13" s="34"/>
      <c r="M13" s="34"/>
      <c r="N13" s="34"/>
      <c r="O13" s="34"/>
      <c r="P13" s="34"/>
      <c r="Q13" s="34"/>
      <c r="R13" s="34"/>
      <c r="S13" s="34"/>
    </row>
    <row r="14" spans="1:19" x14ac:dyDescent="0.3">
      <c r="A14" s="32" t="str">
        <f>MASTER!B6</f>
        <v>FORRO ACéSTICO DE FIBRA MINERAL REMOVÖVEL, MODULA€ÇO 625 X 1250MM,APOIADO EM PERFIS METµLICOS TIPO T SUSPENSOS POR PERFIS RÖGIDOS,E=15MM</v>
      </c>
      <c r="B14" s="33" t="str">
        <f>MASTER!C6</f>
        <v>M2</v>
      </c>
      <c r="C14" s="33">
        <f>MASTER!D6</f>
        <v>180</v>
      </c>
      <c r="D14" s="34"/>
      <c r="E14" s="34"/>
      <c r="F14" s="34"/>
      <c r="G14" s="34"/>
      <c r="H14" s="34"/>
      <c r="I14" s="34"/>
      <c r="J14" s="34"/>
      <c r="K14" s="33"/>
      <c r="L14" s="34"/>
      <c r="M14" s="34"/>
      <c r="N14" s="34"/>
      <c r="O14" s="34"/>
      <c r="P14" s="34"/>
      <c r="Q14" s="34"/>
      <c r="R14" s="34"/>
      <c r="S14" s="34"/>
    </row>
    <row r="15" spans="1:19" x14ac:dyDescent="0.3">
      <c r="A15" s="32" t="str">
        <f>MASTER!B7</f>
        <v>RODAP EM POLIESTIRENO BRANCO 2,40M, H=10CM SANTA LUZIA OU EQUIVALENTE TCNICO - FORNECIMENTO E INSTALA€ÇO</v>
      </c>
      <c r="B15" s="33" t="str">
        <f>MASTER!C7</f>
        <v>M</v>
      </c>
      <c r="C15" s="33">
        <f>MASTER!D7</f>
        <v>60</v>
      </c>
      <c r="D15" s="34"/>
      <c r="E15" s="34"/>
      <c r="F15" s="34"/>
      <c r="G15" s="34"/>
      <c r="H15" s="34"/>
      <c r="I15" s="34"/>
      <c r="J15" s="34"/>
      <c r="K15" s="33"/>
      <c r="L15" s="34"/>
      <c r="M15" s="34"/>
      <c r="N15" s="34"/>
      <c r="O15" s="34"/>
      <c r="P15" s="34"/>
      <c r="Q15" s="34"/>
      <c r="R15" s="34"/>
      <c r="S15" s="34"/>
    </row>
    <row r="16" spans="1:19" x14ac:dyDescent="0.3">
      <c r="A16" s="32" t="str">
        <f>MASTER!B8</f>
        <v>ACABAMENTO</v>
      </c>
      <c r="B16" s="33">
        <f>MASTER!C8</f>
        <v>0</v>
      </c>
      <c r="C16" s="33">
        <f>MASTER!D8</f>
        <v>0</v>
      </c>
      <c r="D16" s="34"/>
      <c r="E16" s="34"/>
      <c r="F16" s="34"/>
      <c r="G16" s="34"/>
      <c r="H16" s="34"/>
      <c r="I16" s="34"/>
      <c r="J16" s="34"/>
      <c r="K16" s="33"/>
      <c r="L16" s="34"/>
      <c r="M16" s="34"/>
      <c r="N16" s="34"/>
      <c r="O16" s="34"/>
      <c r="P16" s="34"/>
      <c r="Q16" s="34"/>
      <c r="R16" s="34"/>
      <c r="S16" s="34"/>
    </row>
    <row r="17" spans="1:19" x14ac:dyDescent="0.3">
      <c r="A17" s="32" t="str">
        <f>MASTER!B9</f>
        <v>REGULARIZA€ÇO DE BASE PARA PISOS C/ ARGAMASSA DE ALTA RESISTÒNCIA, TRA€O 1:3</v>
      </c>
      <c r="B17" s="33" t="str">
        <f>MASTER!C9</f>
        <v>M2</v>
      </c>
      <c r="C17" s="33">
        <f>MASTER!D9</f>
        <v>150</v>
      </c>
      <c r="D17" s="34"/>
      <c r="E17" s="34"/>
      <c r="F17" s="34"/>
      <c r="G17" s="34"/>
      <c r="H17" s="34"/>
      <c r="I17" s="34"/>
      <c r="J17" s="34"/>
      <c r="K17" s="33"/>
      <c r="L17" s="34"/>
      <c r="M17" s="34"/>
      <c r="N17" s="34"/>
      <c r="O17" s="34"/>
      <c r="P17" s="34"/>
      <c r="Q17" s="34"/>
      <c r="R17" s="34"/>
      <c r="S17" s="34"/>
    </row>
    <row r="18" spans="1:19" x14ac:dyDescent="0.3">
      <c r="A18" s="32" t="str">
        <f>MASTER!B10</f>
        <v>REVESTIMENTO CER¶MICO PARA PISO COM PLACAS TIPO ESMALTADA DE DIMENSåES 60X60 CMAPLICADA EM AMBIENTES DE µREA ENTRE 5 M2 E 10 M2. AF_02/2023_PE CS: 87256</v>
      </c>
      <c r="B18" s="33" t="str">
        <f>MASTER!C10</f>
        <v>M2</v>
      </c>
      <c r="C18" s="33">
        <f>MASTER!D10</f>
        <v>150</v>
      </c>
      <c r="D18" s="34"/>
      <c r="E18" s="34"/>
      <c r="F18" s="34"/>
      <c r="G18" s="34"/>
      <c r="H18" s="34"/>
      <c r="I18" s="34"/>
      <c r="J18" s="34"/>
      <c r="K18" s="33"/>
      <c r="L18" s="34"/>
      <c r="M18" s="34"/>
      <c r="N18" s="34"/>
      <c r="O18" s="34"/>
      <c r="P18" s="34"/>
      <c r="Q18" s="34"/>
      <c r="R18" s="34"/>
      <c r="S18" s="34"/>
    </row>
    <row r="19" spans="1:19" x14ac:dyDescent="0.3">
      <c r="A19" s="32" t="str">
        <f>MASTER!B11</f>
        <v>REJUNTAMENTO DE PISO CER¶MICO, COM CIMENTO BRANCO PARA JUNTAS DE AT 3MM</v>
      </c>
      <c r="B19" s="33" t="str">
        <f>MASTER!C11</f>
        <v>M2</v>
      </c>
      <c r="C19" s="33">
        <f>MASTER!D11</f>
        <v>150</v>
      </c>
      <c r="D19" s="34"/>
      <c r="E19" s="34"/>
      <c r="F19" s="34"/>
      <c r="G19" s="34"/>
      <c r="H19" s="34"/>
      <c r="I19" s="34"/>
      <c r="J19" s="34"/>
      <c r="K19" s="33"/>
      <c r="L19" s="34"/>
      <c r="M19" s="34"/>
      <c r="N19" s="34"/>
      <c r="O19" s="34"/>
      <c r="P19" s="34"/>
      <c r="Q19" s="34"/>
      <c r="R19" s="34"/>
      <c r="S19" s="34"/>
    </row>
    <row r="20" spans="1:19" x14ac:dyDescent="0.3">
      <c r="A20" s="32" t="str">
        <f>MASTER!B12</f>
        <v>LIXAMENTO DE MASSA PARA MADEIRA. AF_01/2021 CS: 102194</v>
      </c>
      <c r="B20" s="33" t="str">
        <f>MASTER!C12</f>
        <v>M2</v>
      </c>
      <c r="C20" s="33">
        <f>MASTER!D12</f>
        <v>200</v>
      </c>
      <c r="D20" s="34"/>
      <c r="E20" s="34"/>
      <c r="F20" s="34"/>
      <c r="G20" s="34"/>
      <c r="H20" s="34"/>
      <c r="I20" s="34"/>
      <c r="J20" s="34"/>
      <c r="K20" s="33"/>
      <c r="L20" s="34"/>
      <c r="M20" s="34"/>
      <c r="N20" s="34"/>
      <c r="O20" s="34"/>
      <c r="P20" s="34"/>
      <c r="Q20" s="34"/>
      <c r="R20" s="34"/>
      <c r="S20" s="34"/>
    </row>
    <row r="21" spans="1:19" x14ac:dyDescent="0.3">
      <c r="A21" s="32" t="str">
        <f>MASTER!B13</f>
        <v>EMASSAMENTO DE PAREDES INTERNAS C/ MASSA ACRÖLICA DUAS DEMÇOS</v>
      </c>
      <c r="B21" s="33" t="str">
        <f>MASTER!C13</f>
        <v>M2</v>
      </c>
      <c r="C21" s="33">
        <f>MASTER!D13</f>
        <v>200</v>
      </c>
      <c r="D21" s="34"/>
      <c r="E21" s="34"/>
      <c r="F21" s="34"/>
      <c r="G21" s="34"/>
      <c r="H21" s="34"/>
      <c r="I21" s="34"/>
      <c r="J21" s="34"/>
      <c r="K21" s="33"/>
      <c r="L21" s="34"/>
      <c r="M21" s="34"/>
      <c r="N21" s="34"/>
      <c r="O21" s="34"/>
      <c r="P21" s="34"/>
      <c r="Q21" s="34"/>
      <c r="R21" s="34"/>
      <c r="S21" s="34"/>
    </row>
    <row r="22" spans="1:19" x14ac:dyDescent="0.3">
      <c r="A22" s="32" t="str">
        <f>MASTER!B14</f>
        <v>APLICA€ÇO MANUAL DE PINTURA COM TINTA LµTEX ACRÖLICA CORAL OU EQUIVALENTE TCNICA, EM PAREDES EXTERNAS, DUAS DEMÇOS</v>
      </c>
      <c r="B22" s="33" t="str">
        <f>MASTER!C14</f>
        <v>M2</v>
      </c>
      <c r="C22" s="33">
        <f>MASTER!D14</f>
        <v>350</v>
      </c>
      <c r="D22" s="34"/>
      <c r="E22" s="34"/>
      <c r="F22" s="34"/>
      <c r="G22" s="34"/>
      <c r="H22" s="34"/>
      <c r="I22" s="34"/>
      <c r="J22" s="34"/>
      <c r="K22" s="33"/>
      <c r="L22" s="34"/>
      <c r="M22" s="34"/>
      <c r="N22" s="34"/>
      <c r="O22" s="34"/>
      <c r="P22" s="34"/>
      <c r="Q22" s="34"/>
      <c r="R22" s="34"/>
      <c r="S22" s="34"/>
    </row>
    <row r="23" spans="1:19" x14ac:dyDescent="0.3">
      <c r="A23" s="32" t="str">
        <f>MASTER!B15</f>
        <v>INSTALAÇÕES ELÉTRICAS</v>
      </c>
      <c r="B23" s="33">
        <f>MASTER!C15</f>
        <v>0</v>
      </c>
      <c r="C23" s="33">
        <f>MASTER!D15</f>
        <v>0</v>
      </c>
      <c r="D23" s="34"/>
      <c r="E23" s="34"/>
      <c r="F23" s="34"/>
      <c r="G23" s="34"/>
      <c r="H23" s="34"/>
      <c r="I23" s="34"/>
      <c r="J23" s="34"/>
      <c r="K23" s="33"/>
      <c r="L23" s="34"/>
      <c r="M23" s="34"/>
      <c r="N23" s="34"/>
      <c r="O23" s="34"/>
      <c r="P23" s="34"/>
      <c r="Q23" s="34"/>
      <c r="R23" s="34"/>
      <c r="S23" s="34"/>
    </row>
    <row r="24" spans="1:19" x14ac:dyDescent="0.3">
      <c r="A24" s="32" t="str">
        <f>MASTER!B16</f>
        <v>CAIXA DE MEDI€ÇO TC PADRÇO COELBA,DIMEN-SÇO (2,00 X 0,80 X 0,30)M - FORNECIMENTO E INSTALA€ÇO</v>
      </c>
      <c r="B24" s="33" t="str">
        <f>MASTER!C16</f>
        <v>UN</v>
      </c>
      <c r="C24" s="33">
        <f>MASTER!D16</f>
        <v>1</v>
      </c>
      <c r="D24" s="34"/>
      <c r="E24" s="34"/>
      <c r="F24" s="34"/>
      <c r="G24" s="34"/>
      <c r="H24" s="34"/>
      <c r="I24" s="34"/>
      <c r="J24" s="34"/>
      <c r="K24" s="33"/>
      <c r="L24" s="34"/>
      <c r="M24" s="34"/>
      <c r="N24" s="34"/>
      <c r="O24" s="34"/>
      <c r="P24" s="34"/>
      <c r="Q24" s="34"/>
      <c r="R24" s="34"/>
      <c r="S24" s="34"/>
    </row>
    <row r="25" spans="1:19" x14ac:dyDescent="0.3">
      <c r="A25" s="32" t="str">
        <f>MASTER!B17</f>
        <v>QUADRO GERAL DE BAIXA TENSÇO - QGBT,COMACABAMENTO EM PINTURA ELETROSTµTICA ABASE DE RESINA EPàXI,IP54,BARRAMENTOS COM TERMOCONTRµTIL,CHAPA DE A€O 12(ESTRUTURA) E 14(FECHAMENTO) - INSTALADO</v>
      </c>
      <c r="B25" s="33" t="str">
        <f>MASTER!C17</f>
        <v>UN</v>
      </c>
      <c r="C25" s="33">
        <f>MASTER!D17</f>
        <v>1</v>
      </c>
      <c r="D25" s="34"/>
      <c r="E25" s="34"/>
      <c r="F25" s="34"/>
      <c r="G25" s="34"/>
      <c r="H25" s="34"/>
      <c r="I25" s="34"/>
      <c r="J25" s="34"/>
      <c r="K25" s="33"/>
      <c r="L25" s="34"/>
      <c r="M25" s="34"/>
      <c r="N25" s="34"/>
      <c r="O25" s="34"/>
      <c r="P25" s="34"/>
      <c r="Q25" s="34"/>
      <c r="R25" s="34"/>
      <c r="S25" s="34"/>
    </row>
    <row r="26" spans="1:19" x14ac:dyDescent="0.3">
      <c r="A26" s="32" t="str">
        <f>MASTER!B18</f>
        <v>CABO DE COBRE FLEXÖVEL ISOLADO, 120 MMý, ANTI-CHAMA 0,6/1,0 KV, PARA REDE ENTERRADA DE DISTRIBUI€ÇO DE ENERGIA ELTRICA- FORNECIMENTO E INSTALA€ÇO. AF_12/2021CS: 92994</v>
      </c>
      <c r="B26" s="33" t="str">
        <f>MASTER!C18</f>
        <v>M</v>
      </c>
      <c r="C26" s="33">
        <f>MASTER!D18</f>
        <v>600</v>
      </c>
      <c r="D26" s="34"/>
      <c r="E26" s="34"/>
      <c r="F26" s="34"/>
      <c r="G26" s="34"/>
      <c r="H26" s="34"/>
      <c r="I26" s="34"/>
      <c r="J26" s="34"/>
      <c r="K26" s="33"/>
      <c r="L26" s="34"/>
      <c r="M26" s="34"/>
      <c r="N26" s="34"/>
      <c r="O26" s="34"/>
      <c r="P26" s="34"/>
      <c r="Q26" s="34"/>
      <c r="R26" s="34"/>
      <c r="S26" s="34"/>
    </row>
    <row r="27" spans="1:19" x14ac:dyDescent="0.3">
      <c r="A27" s="32" t="str">
        <f>MASTER!B19</f>
        <v>ELETRODUTO RÖGIDO ROSCµVEL, PVC, DN 110MM (4), PARA REDE ENTERRADA DE DISTRIBUI€ÇO DE ENERGIA ELTRICA - FORNECIMENTO E INSTALA€ÇO. AF_12/2021 CS: 93012</v>
      </c>
      <c r="B27" s="33" t="str">
        <f>MASTER!C19</f>
        <v>M</v>
      </c>
      <c r="C27" s="33">
        <f>MASTER!D19</f>
        <v>250</v>
      </c>
      <c r="D27" s="34"/>
      <c r="E27" s="34"/>
      <c r="F27" s="34"/>
      <c r="G27" s="34"/>
      <c r="H27" s="34"/>
      <c r="I27" s="34"/>
      <c r="J27" s="34"/>
      <c r="K27" s="33"/>
      <c r="L27" s="34"/>
      <c r="M27" s="34"/>
      <c r="N27" s="34"/>
      <c r="O27" s="34"/>
      <c r="P27" s="34"/>
      <c r="Q27" s="34"/>
      <c r="R27" s="34"/>
      <c r="S27" s="34"/>
    </row>
    <row r="28" spans="1:19" x14ac:dyDescent="0.3">
      <c r="A28" s="32" t="str">
        <f>MASTER!B20</f>
        <v>ESCAVA€ÇO MANUAL DE VALA OU CAVA EM MATERIAL DE 1¦ CATEGORIA, PROFUNDIDADE AT 1,50M - ORSE: 02497</v>
      </c>
      <c r="B28" s="33" t="str">
        <f>MASTER!C20</f>
        <v>M3</v>
      </c>
      <c r="C28" s="33">
        <f>MASTER!D20</f>
        <v>90</v>
      </c>
      <c r="D28" s="34"/>
      <c r="E28" s="34"/>
      <c r="F28" s="34"/>
      <c r="G28" s="34"/>
      <c r="H28" s="34"/>
      <c r="I28" s="34"/>
      <c r="J28" s="34"/>
      <c r="K28" s="33"/>
      <c r="L28" s="34"/>
      <c r="M28" s="34"/>
      <c r="N28" s="34"/>
      <c r="O28" s="34"/>
      <c r="P28" s="34"/>
      <c r="Q28" s="34"/>
      <c r="R28" s="34"/>
      <c r="S28" s="34"/>
    </row>
    <row r="29" spans="1:19" x14ac:dyDescent="0.3">
      <c r="A29" s="32" t="str">
        <f>MASTER!B21</f>
        <v>REATERRO DE VALA COM COMPACTA€ÇO MANUAL</v>
      </c>
      <c r="B29" s="33" t="str">
        <f>MASTER!C21</f>
        <v>M3</v>
      </c>
      <c r="C29" s="33">
        <f>MASTER!D21</f>
        <v>70</v>
      </c>
      <c r="D29" s="34"/>
      <c r="E29" s="34"/>
      <c r="F29" s="34"/>
      <c r="G29" s="34"/>
      <c r="H29" s="34"/>
      <c r="I29" s="34"/>
      <c r="J29" s="34"/>
      <c r="K29" s="33"/>
      <c r="L29" s="34"/>
      <c r="M29" s="34"/>
      <c r="N29" s="34"/>
      <c r="O29" s="34"/>
      <c r="P29" s="34"/>
      <c r="Q29" s="34"/>
      <c r="R29" s="34"/>
      <c r="S29" s="34"/>
    </row>
    <row r="30" spans="1:19" x14ac:dyDescent="0.3">
      <c r="A30" s="32" t="str">
        <f>MASTER!B22</f>
        <v>DISJUNTOR TERMOMAGNTICO TRIPOLAR , CORRENTE NOMINAL DE 250A - FORNECIMENTO E INSTALA€ÇO. AF_10/2020 CS: 101897</v>
      </c>
      <c r="B30" s="33" t="str">
        <f>MASTER!C22</f>
        <v>UN</v>
      </c>
      <c r="C30" s="33">
        <f>MASTER!D22</f>
        <v>2</v>
      </c>
      <c r="D30" s="34"/>
      <c r="E30" s="34"/>
      <c r="F30" s="34"/>
      <c r="G30" s="34"/>
      <c r="H30" s="34"/>
      <c r="I30" s="34"/>
      <c r="J30" s="34"/>
      <c r="K30" s="33"/>
      <c r="L30" s="34"/>
      <c r="M30" s="34"/>
      <c r="N30" s="34"/>
      <c r="O30" s="34"/>
      <c r="P30" s="34"/>
      <c r="Q30" s="34"/>
      <c r="R30" s="34"/>
      <c r="S30" s="34"/>
    </row>
    <row r="31" spans="1:19" x14ac:dyDescent="0.3">
      <c r="A31" s="32" t="str">
        <f>MASTER!B23</f>
        <v>ARMA€ÇO SECUNDµRIA, COM 1 ESTRIBO E 1 ISOLADOR - FORNECIMENTO E INSTALA€ÇO. AF_07/2020 CS: 101538</v>
      </c>
      <c r="B31" s="33" t="str">
        <f>MASTER!C23</f>
        <v>UN</v>
      </c>
      <c r="C31" s="33">
        <f>MASTER!D23</f>
        <v>1</v>
      </c>
      <c r="D31" s="34"/>
      <c r="E31" s="34"/>
      <c r="F31" s="34"/>
      <c r="G31" s="34"/>
      <c r="H31" s="34"/>
      <c r="I31" s="34"/>
      <c r="J31" s="34"/>
      <c r="K31" s="33"/>
      <c r="L31" s="34"/>
      <c r="M31" s="34"/>
      <c r="N31" s="34"/>
      <c r="O31" s="34"/>
      <c r="P31" s="34"/>
      <c r="Q31" s="34"/>
      <c r="R31" s="34"/>
      <c r="S31" s="34"/>
    </row>
    <row r="32" spans="1:19" x14ac:dyDescent="0.3">
      <c r="A32" s="32" t="str">
        <f>MASTER!B24</f>
        <v>CORDOALHA DE COBRE NU 70 MMý, ENTERRADA- FORNECIMENTO E INSTALA€ÇO. AF_08/2023CS: 96978</v>
      </c>
      <c r="B32" s="33" t="str">
        <f>MASTER!C24</f>
        <v>M</v>
      </c>
      <c r="C32" s="33">
        <f>MASTER!D24</f>
        <v>190</v>
      </c>
      <c r="D32" s="34"/>
      <c r="E32" s="34"/>
      <c r="F32" s="34"/>
      <c r="G32" s="34"/>
      <c r="H32" s="34"/>
      <c r="I32" s="34"/>
      <c r="J32" s="34"/>
      <c r="K32" s="33"/>
      <c r="L32" s="34"/>
      <c r="M32" s="34"/>
      <c r="N32" s="34"/>
      <c r="O32" s="34"/>
      <c r="P32" s="34"/>
      <c r="Q32" s="34"/>
      <c r="R32" s="34"/>
      <c r="S32" s="34"/>
    </row>
    <row r="33" spans="1:19" x14ac:dyDescent="0.3">
      <c r="A33" s="32" t="str">
        <f>MASTER!B25</f>
        <v>CONECTOR CABO-HASTE EM BRONZE NATURAL PARA 1 CABO COBRE DE 16MM2 A 70MM2 COM GRAMPO U E PORCAS DE A€O GALV.REF:TEL-584 OU SIMILAR - FORNECIMENTO E INSTALA€ÇO</v>
      </c>
      <c r="B33" s="33" t="str">
        <f>MASTER!C25</f>
        <v>UN</v>
      </c>
      <c r="C33" s="33">
        <f>MASTER!D25</f>
        <v>14</v>
      </c>
      <c r="D33" s="34"/>
      <c r="E33" s="34"/>
      <c r="F33" s="34"/>
      <c r="G33" s="34"/>
      <c r="H33" s="34"/>
      <c r="I33" s="34"/>
      <c r="J33" s="34"/>
      <c r="K33" s="33"/>
      <c r="L33" s="34"/>
      <c r="M33" s="34"/>
      <c r="N33" s="34"/>
      <c r="O33" s="34"/>
      <c r="P33" s="34"/>
      <c r="Q33" s="34"/>
      <c r="R33" s="34"/>
      <c r="S33" s="34"/>
    </row>
    <row r="34" spans="1:19" x14ac:dyDescent="0.3">
      <c r="A34" s="32" t="str">
        <f>MASTER!B26</f>
        <v>HASTE DE ATERRAMENTO COPPERWELD, DIMENSåES DE 5/8X 3,00M,C/ CAIXA DE INSPE€ÇOEM POPIPROPILENO E TUBO ESGOTO 300MM</v>
      </c>
      <c r="B34" s="33" t="str">
        <f>MASTER!C26</f>
        <v>UN</v>
      </c>
      <c r="C34" s="33">
        <f>MASTER!D26</f>
        <v>12</v>
      </c>
      <c r="D34" s="34"/>
      <c r="E34" s="34"/>
      <c r="F34" s="34"/>
      <c r="G34" s="34"/>
      <c r="H34" s="34"/>
      <c r="I34" s="34"/>
      <c r="J34" s="34"/>
      <c r="K34" s="33"/>
      <c r="L34" s="34"/>
      <c r="M34" s="34"/>
      <c r="N34" s="34"/>
      <c r="O34" s="34"/>
      <c r="P34" s="34"/>
      <c r="Q34" s="34"/>
      <c r="R34" s="34"/>
      <c r="S34" s="34"/>
    </row>
    <row r="35" spans="1:19" x14ac:dyDescent="0.3">
      <c r="A35" s="32" t="str">
        <f>MASTER!B27</f>
        <v>QUADRO DE DISTRIBUI€ÇO DE LUZ EM CHAPA DE A€O DE SOBREPOR, AT 64 DIVISåES MODULARES, DIMENSåES EXTERNAS 973X405X95MM SEM BARRAMENTO</v>
      </c>
      <c r="B35" s="33" t="str">
        <f>MASTER!C27</f>
        <v>UN</v>
      </c>
      <c r="C35" s="33">
        <f>MASTER!D27</f>
        <v>3</v>
      </c>
      <c r="D35" s="34"/>
      <c r="E35" s="34"/>
      <c r="F35" s="34"/>
      <c r="G35" s="34"/>
      <c r="H35" s="34"/>
      <c r="I35" s="34"/>
      <c r="J35" s="34"/>
      <c r="K35" s="33"/>
      <c r="L35" s="34"/>
      <c r="M35" s="34"/>
      <c r="N35" s="34"/>
      <c r="O35" s="34"/>
      <c r="P35" s="34"/>
      <c r="Q35" s="34"/>
      <c r="R35" s="34"/>
      <c r="S35" s="34"/>
    </row>
    <row r="36" spans="1:19" x14ac:dyDescent="0.3">
      <c r="A36" s="32" t="str">
        <f>MASTER!B28</f>
        <v>CABO DE COBRE FLEXÖVEL ISOLADO, 35 MMý,ANTI-CHAMA 0,6/1,0 KV, PARA REDE ENTERRADA DE DISTRIBUI€ÇO DE ENERGIA ELTRICA - FORNECIMENTO E INSTALA€ÇO. AF_12/2021 CS: 92986</v>
      </c>
      <c r="B36" s="33" t="str">
        <f>MASTER!C28</f>
        <v>M</v>
      </c>
      <c r="C36" s="33">
        <f>MASTER!D28</f>
        <v>170</v>
      </c>
      <c r="D36" s="34"/>
      <c r="E36" s="34"/>
      <c r="F36" s="34"/>
      <c r="G36" s="34"/>
      <c r="H36" s="34"/>
      <c r="I36" s="34"/>
      <c r="J36" s="34"/>
      <c r="K36" s="33"/>
      <c r="L36" s="34"/>
      <c r="M36" s="34"/>
      <c r="N36" s="34"/>
      <c r="O36" s="34"/>
      <c r="P36" s="34"/>
      <c r="Q36" s="34"/>
      <c r="R36" s="34"/>
      <c r="S36" s="34"/>
    </row>
    <row r="37" spans="1:19" x14ac:dyDescent="0.3">
      <c r="A37" s="32" t="str">
        <f>MASTER!B29</f>
        <v>TERMINAL OU CONECTOR DE PRESSÇO 120MM2 - FORNECIMENTO E INSTALA€ÇO</v>
      </c>
      <c r="B37" s="33" t="str">
        <f>MASTER!C29</f>
        <v>UN</v>
      </c>
      <c r="C37" s="33">
        <f>MASTER!D29</f>
        <v>16</v>
      </c>
      <c r="D37" s="34"/>
      <c r="E37" s="34"/>
      <c r="F37" s="34"/>
      <c r="G37" s="34"/>
      <c r="H37" s="34"/>
      <c r="I37" s="34"/>
      <c r="J37" s="34"/>
      <c r="K37" s="33"/>
      <c r="L37" s="34"/>
      <c r="M37" s="34"/>
      <c r="N37" s="34"/>
      <c r="O37" s="34"/>
      <c r="P37" s="34"/>
      <c r="Q37" s="34"/>
      <c r="R37" s="34"/>
      <c r="S37" s="34"/>
    </row>
    <row r="38" spans="1:19" x14ac:dyDescent="0.3">
      <c r="A38" s="32" t="str">
        <f>MASTER!B30</f>
        <v>ELETRODUTO RÖGIDO ROSCµVEL, PVC, DN 75 MM (2 1/2), PARA REDE ENTERRADA DE DISTRIBUI€ÇO DE ENERGIA ELTRICA - FORNECIMENTO E INSTALA€ÇO. AF_12/2021 CS: 93010</v>
      </c>
      <c r="B38" s="33" t="str">
        <f>MASTER!C30</f>
        <v>M</v>
      </c>
      <c r="C38" s="33">
        <f>MASTER!D30</f>
        <v>50</v>
      </c>
      <c r="D38" s="34"/>
      <c r="E38" s="34"/>
      <c r="F38" s="34"/>
      <c r="G38" s="34"/>
      <c r="H38" s="34"/>
      <c r="I38" s="34"/>
      <c r="J38" s="34"/>
      <c r="K38" s="33"/>
      <c r="L38" s="34"/>
      <c r="M38" s="34"/>
      <c r="N38" s="34"/>
      <c r="O38" s="34"/>
      <c r="P38" s="34"/>
      <c r="Q38" s="34"/>
      <c r="R38" s="34"/>
      <c r="S38" s="34"/>
    </row>
    <row r="39" spans="1:19" x14ac:dyDescent="0.3">
      <c r="A39" s="32" t="str">
        <f>MASTER!B31</f>
        <v>ASSENTAMENTO DE POSTE DE CONCRETO COM COMPRIMENTO NOMINAL DE 11 M, CARGA NOMINAL MENOR OU IGUAL A 1000 DAN, ENGASTAMENTO SIMPLES COM 1,7 M DE SOLO (NÇO INCLUI FORNECIMENTO). AF_11/2019 CS: 100583</v>
      </c>
      <c r="B39" s="33" t="str">
        <f>MASTER!C31</f>
        <v>UN</v>
      </c>
      <c r="C39" s="33">
        <f>MASTER!D31</f>
        <v>1</v>
      </c>
      <c r="D39" s="34"/>
      <c r="E39" s="34"/>
      <c r="F39" s="34"/>
      <c r="G39" s="34"/>
      <c r="H39" s="34"/>
      <c r="I39" s="34"/>
      <c r="J39" s="34"/>
      <c r="K39" s="33"/>
      <c r="L39" s="34"/>
      <c r="M39" s="34"/>
      <c r="N39" s="34"/>
      <c r="O39" s="34"/>
      <c r="P39" s="34"/>
      <c r="Q39" s="34"/>
      <c r="R39" s="34"/>
      <c r="S39" s="34"/>
    </row>
    <row r="40" spans="1:19" x14ac:dyDescent="0.3">
      <c r="A40" s="32" t="str">
        <f>MASTER!B32</f>
        <v>POSTE DE CONCRETO 11MX600KG, DUPLO T,IN-CLUSIVE TRANSPORTE E INSTALA€ÇO</v>
      </c>
      <c r="B40" s="33" t="str">
        <f>MASTER!C32</f>
        <v>UN</v>
      </c>
      <c r="C40" s="33">
        <f>MASTER!D32</f>
        <v>1</v>
      </c>
      <c r="D40" s="34"/>
      <c r="E40" s="34"/>
      <c r="F40" s="34"/>
      <c r="G40" s="34"/>
      <c r="H40" s="34"/>
      <c r="I40" s="34"/>
      <c r="J40" s="34"/>
      <c r="K40" s="33"/>
      <c r="L40" s="34"/>
      <c r="M40" s="34"/>
      <c r="N40" s="34"/>
      <c r="O40" s="34"/>
      <c r="P40" s="34"/>
      <c r="Q40" s="34"/>
      <c r="R40" s="34"/>
      <c r="S40" s="34"/>
    </row>
    <row r="41" spans="1:19" x14ac:dyDescent="0.3">
      <c r="A41" s="32" t="str">
        <f>MASTER!B33</f>
        <v>CAIXA DE PASSAGEM EM ALUMÖNIO 20X20X12CM EMBUTIR - FORNECIMENTO E INSTALA€ÇO</v>
      </c>
      <c r="B41" s="33" t="str">
        <f>MASTER!C33</f>
        <v>UN</v>
      </c>
      <c r="C41" s="33">
        <f>MASTER!D33</f>
        <v>4</v>
      </c>
      <c r="D41" s="34"/>
      <c r="E41" s="34"/>
      <c r="F41" s="34"/>
      <c r="G41" s="34"/>
      <c r="H41" s="34"/>
      <c r="I41" s="34"/>
      <c r="J41" s="34"/>
      <c r="K41" s="33"/>
      <c r="L41" s="34"/>
      <c r="M41" s="34"/>
      <c r="N41" s="34"/>
      <c r="O41" s="34"/>
      <c r="P41" s="34"/>
      <c r="Q41" s="34"/>
      <c r="R41" s="34"/>
      <c r="S41" s="34"/>
    </row>
    <row r="42" spans="1:19" x14ac:dyDescent="0.3">
      <c r="A42" s="32" t="str">
        <f>MASTER!B34</f>
        <v>DISPOSITIVO DE PROTE€ÇO CONTRA SURTO DETENSÇO DPS 20KA - 275V - CLAMPER OU SIMILAR - FORNECIMENTO E INSTALA€ÇO</v>
      </c>
      <c r="B42" s="33" t="str">
        <f>MASTER!C34</f>
        <v>UN</v>
      </c>
      <c r="C42" s="33">
        <f>MASTER!D34</f>
        <v>12</v>
      </c>
      <c r="D42" s="34"/>
      <c r="E42" s="34"/>
      <c r="F42" s="34"/>
      <c r="G42" s="34"/>
      <c r="H42" s="34"/>
      <c r="I42" s="34"/>
      <c r="J42" s="34"/>
      <c r="K42" s="33"/>
      <c r="L42" s="34"/>
      <c r="M42" s="34"/>
      <c r="N42" s="34"/>
      <c r="O42" s="34"/>
      <c r="P42" s="34"/>
      <c r="Q42" s="34"/>
      <c r="R42" s="34"/>
      <c r="S42" s="34"/>
    </row>
    <row r="43" spans="1:19" x14ac:dyDescent="0.3">
      <c r="A43" s="32" t="str">
        <f>MASTER!B35</f>
        <v>ETIQUETA ADESIVA COM IDENTIFICA€ÇO DE VOLTAGEM CABO DE REDE E TV, ROTEADOR, SOM, FIOS, CONECTORES E ETC</v>
      </c>
      <c r="B43" s="33" t="str">
        <f>MASTER!C35</f>
        <v>UN</v>
      </c>
      <c r="C43" s="33">
        <f>MASTER!D35</f>
        <v>300</v>
      </c>
      <c r="D43" s="34"/>
      <c r="E43" s="34"/>
      <c r="F43" s="34"/>
      <c r="G43" s="34"/>
      <c r="H43" s="34"/>
      <c r="I43" s="34"/>
      <c r="J43" s="34"/>
      <c r="K43" s="33"/>
      <c r="L43" s="34"/>
      <c r="M43" s="34"/>
      <c r="N43" s="34"/>
      <c r="O43" s="34"/>
      <c r="P43" s="34"/>
      <c r="Q43" s="34"/>
      <c r="R43" s="34"/>
      <c r="S43" s="34"/>
    </row>
    <row r="44" spans="1:19" x14ac:dyDescent="0.3">
      <c r="A44" s="32" t="str">
        <f>MASTER!B36</f>
        <v>PLACA DE SINALIZA€ÇO DE RISCO DE CHOQUEELTRICO PARA SUBESTA€ÇO - FORNECIMENTO E INSTALA€ÇO</v>
      </c>
      <c r="B44" s="33" t="str">
        <f>MASTER!C36</f>
        <v>UN</v>
      </c>
      <c r="C44" s="33">
        <f>MASTER!D36</f>
        <v>2</v>
      </c>
      <c r="D44" s="34"/>
      <c r="E44" s="34"/>
      <c r="F44" s="34"/>
      <c r="G44" s="34"/>
      <c r="H44" s="34"/>
      <c r="I44" s="34"/>
      <c r="J44" s="34"/>
      <c r="K44" s="33"/>
      <c r="L44" s="34"/>
      <c r="M44" s="34"/>
      <c r="N44" s="34"/>
      <c r="O44" s="34"/>
      <c r="P44" s="34"/>
      <c r="Q44" s="34"/>
      <c r="R44" s="34"/>
      <c r="S44" s="34"/>
    </row>
    <row r="45" spans="1:19" x14ac:dyDescent="0.3">
      <c r="A45" s="32" t="str">
        <f>MASTER!B37</f>
        <v>COMPLEMENTO - GUARITA</v>
      </c>
      <c r="B45" s="33">
        <f>MASTER!C37</f>
        <v>0</v>
      </c>
      <c r="C45" s="33">
        <f>MASTER!D37</f>
        <v>0</v>
      </c>
      <c r="D45" s="34"/>
      <c r="E45" s="34"/>
      <c r="F45" s="34"/>
      <c r="G45" s="34"/>
      <c r="H45" s="34"/>
      <c r="I45" s="34"/>
      <c r="J45" s="34"/>
      <c r="K45" s="33"/>
      <c r="L45" s="34"/>
      <c r="M45" s="34"/>
      <c r="N45" s="34"/>
      <c r="O45" s="34"/>
      <c r="P45" s="34"/>
      <c r="Q45" s="34"/>
      <c r="R45" s="34"/>
      <c r="S45" s="34"/>
    </row>
    <row r="46" spans="1:19" x14ac:dyDescent="0.3">
      <c r="A46" s="32" t="str">
        <f>MASTER!B38</f>
        <v>REMO€ÇO DE FORRO DE GESSO, DE FORMA MANUAL, SEM REAPROVEITAMENTO. AF_09/2023 CS: 97641</v>
      </c>
      <c r="B46" s="33" t="str">
        <f>MASTER!C38</f>
        <v>M2</v>
      </c>
      <c r="C46" s="33">
        <f>MASTER!D38</f>
        <v>16</v>
      </c>
      <c r="D46" s="34"/>
      <c r="E46" s="34"/>
      <c r="F46" s="34"/>
      <c r="G46" s="34"/>
      <c r="H46" s="34"/>
      <c r="I46" s="34"/>
      <c r="J46" s="34"/>
      <c r="K46" s="33"/>
      <c r="L46" s="34"/>
      <c r="M46" s="34"/>
      <c r="N46" s="34"/>
      <c r="O46" s="34"/>
      <c r="P46" s="34"/>
      <c r="Q46" s="34"/>
      <c r="R46" s="34"/>
      <c r="S46" s="34"/>
    </row>
    <row r="47" spans="1:19" x14ac:dyDescent="0.3">
      <c r="A47" s="32" t="str">
        <f>MASTER!B39</f>
        <v>RODAP EM MARMORITE, ALTURA 10CM. AF_09/2020 CS: 101741</v>
      </c>
      <c r="B47" s="33" t="str">
        <f>MASTER!C39</f>
        <v>M</v>
      </c>
      <c r="C47" s="33">
        <f>MASTER!D39</f>
        <v>15</v>
      </c>
      <c r="D47" s="34"/>
      <c r="E47" s="34"/>
      <c r="F47" s="34"/>
      <c r="G47" s="34"/>
      <c r="H47" s="34"/>
      <c r="I47" s="34"/>
      <c r="J47" s="34"/>
      <c r="K47" s="33"/>
      <c r="L47" s="34"/>
      <c r="M47" s="34"/>
      <c r="N47" s="34"/>
      <c r="O47" s="34"/>
      <c r="P47" s="34"/>
      <c r="Q47" s="34"/>
      <c r="R47" s="34"/>
      <c r="S47" s="34"/>
    </row>
    <row r="48" spans="1:19" x14ac:dyDescent="0.3">
      <c r="A48" s="32" t="str">
        <f>MASTER!B40</f>
        <v>ACABAMENTO</v>
      </c>
      <c r="B48" s="33">
        <f>MASTER!C40</f>
        <v>0</v>
      </c>
      <c r="C48" s="33">
        <f>MASTER!D40</f>
        <v>0</v>
      </c>
      <c r="D48" s="34"/>
      <c r="E48" s="34"/>
      <c r="F48" s="34"/>
      <c r="G48" s="34"/>
      <c r="H48" s="34"/>
      <c r="I48" s="34"/>
      <c r="J48" s="34"/>
      <c r="K48" s="33"/>
      <c r="L48" s="34"/>
      <c r="M48" s="34"/>
      <c r="N48" s="34"/>
      <c r="O48" s="34"/>
      <c r="P48" s="34"/>
      <c r="Q48" s="34"/>
      <c r="R48" s="34"/>
      <c r="S48" s="34"/>
    </row>
    <row r="49" spans="1:19" x14ac:dyDescent="0.3">
      <c r="A49" s="32" t="str">
        <f>MASTER!B41</f>
        <v>FORRO ACéSTICO DE FIBRA MINERAL REMOVÖVEL, MODULA€ÇO 625 X 1250MM,APOIADO EM PERFIS METµLICOS TIPO T SUSPENSOS POR PERFIS RÖGIDOS,E=15MM</v>
      </c>
      <c r="B49" s="33" t="str">
        <f>MASTER!C41</f>
        <v>M2</v>
      </c>
      <c r="C49" s="33">
        <f>MASTER!D41</f>
        <v>22</v>
      </c>
      <c r="D49" s="34"/>
      <c r="E49" s="34"/>
      <c r="F49" s="34"/>
      <c r="G49" s="34"/>
      <c r="H49" s="34"/>
      <c r="I49" s="34"/>
      <c r="J49" s="34"/>
      <c r="K49" s="33"/>
      <c r="L49" s="34"/>
      <c r="M49" s="34"/>
      <c r="N49" s="34"/>
      <c r="O49" s="34"/>
      <c r="P49" s="34"/>
      <c r="Q49" s="34"/>
      <c r="R49" s="34"/>
      <c r="S49" s="34"/>
    </row>
    <row r="50" spans="1:19" x14ac:dyDescent="0.3">
      <c r="A50" s="32" t="str">
        <f>MASTER!B42</f>
        <v>RODAP EM POLIESTIRENO BRANCO 2,40M, H=10CM SANTA LUZIA OU EQUIVALENTE TCNICO - FORNECIMENTO E INSTALA€ÇO</v>
      </c>
      <c r="B50" s="33" t="str">
        <f>MASTER!C42</f>
        <v>M</v>
      </c>
      <c r="C50" s="33">
        <f>MASTER!D42</f>
        <v>18</v>
      </c>
      <c r="D50" s="34"/>
      <c r="E50" s="34"/>
      <c r="F50" s="34"/>
      <c r="G50" s="34"/>
      <c r="H50" s="34"/>
      <c r="I50" s="34"/>
      <c r="J50" s="34"/>
      <c r="K50" s="33"/>
      <c r="L50" s="34"/>
      <c r="M50" s="34"/>
      <c r="N50" s="34"/>
      <c r="O50" s="34"/>
      <c r="P50" s="34"/>
      <c r="Q50" s="34"/>
      <c r="R50" s="34"/>
      <c r="S50" s="34"/>
    </row>
    <row r="51" spans="1:19" x14ac:dyDescent="0.3">
      <c r="A51" s="32" t="str">
        <f>MASTER!B43</f>
        <v>REGULARIZA€ÇO DE BASE PARA PISOS C/ ARGAMASSA DE ALTA RESISTÒNCIA, TRA€O 1:3</v>
      </c>
      <c r="B51" s="33" t="str">
        <f>MASTER!C43</f>
        <v>M2</v>
      </c>
      <c r="C51" s="33">
        <f>MASTER!D43</f>
        <v>16</v>
      </c>
      <c r="D51" s="34"/>
      <c r="E51" s="34"/>
      <c r="F51" s="34"/>
      <c r="G51" s="34"/>
      <c r="H51" s="34"/>
      <c r="I51" s="34"/>
      <c r="J51" s="34"/>
      <c r="K51" s="33"/>
      <c r="L51" s="34"/>
      <c r="M51" s="34"/>
      <c r="N51" s="34"/>
      <c r="O51" s="34"/>
      <c r="P51" s="34"/>
      <c r="Q51" s="34"/>
      <c r="R51" s="34"/>
      <c r="S51" s="34"/>
    </row>
    <row r="52" spans="1:19" x14ac:dyDescent="0.3">
      <c r="A52" s="32" t="str">
        <f>MASTER!B44</f>
        <v>REVESTIMENTO CER¶MICO PARA PISO COM PLACAS TIPO ESMALTADA DE DIMENSåES 60X60 CMAPLICADA EM AMBIENTES DE µREA ENTRE 5 M2 E 10 M2. AF_02/2023_PE CS: 87256</v>
      </c>
      <c r="B52" s="33" t="str">
        <f>MASTER!C44</f>
        <v>M2</v>
      </c>
      <c r="C52" s="33">
        <f>MASTER!D44</f>
        <v>16</v>
      </c>
      <c r="D52" s="34"/>
      <c r="E52" s="34"/>
      <c r="F52" s="34"/>
      <c r="G52" s="34"/>
      <c r="H52" s="34"/>
      <c r="I52" s="34"/>
      <c r="J52" s="34"/>
      <c r="K52" s="33"/>
      <c r="L52" s="34"/>
      <c r="M52" s="34"/>
      <c r="N52" s="34"/>
      <c r="O52" s="34"/>
      <c r="P52" s="34"/>
      <c r="Q52" s="34"/>
      <c r="R52" s="34"/>
      <c r="S52" s="34"/>
    </row>
    <row r="53" spans="1:19" x14ac:dyDescent="0.3">
      <c r="A53" s="32" t="str">
        <f>MASTER!B45</f>
        <v>REJUNTAMENTO DE PISO CER¶MICO, COM CIMENTO BRANCO PARA JUNTAS DE AT 3MM</v>
      </c>
      <c r="B53" s="33" t="str">
        <f>MASTER!C45</f>
        <v>M2</v>
      </c>
      <c r="C53" s="33">
        <f>MASTER!D45</f>
        <v>16</v>
      </c>
      <c r="D53" s="34"/>
      <c r="E53" s="34"/>
      <c r="F53" s="34"/>
      <c r="G53" s="34"/>
      <c r="H53" s="34"/>
      <c r="I53" s="34"/>
      <c r="J53" s="34"/>
      <c r="K53" s="33"/>
      <c r="L53" s="34"/>
      <c r="M53" s="34"/>
      <c r="N53" s="34"/>
      <c r="O53" s="34"/>
      <c r="P53" s="34"/>
      <c r="Q53" s="34"/>
      <c r="R53" s="34"/>
      <c r="S53" s="34"/>
    </row>
    <row r="54" spans="1:19" x14ac:dyDescent="0.3">
      <c r="A54" s="32" t="str">
        <f>MASTER!B46</f>
        <v>EMASSAMENTO DE PAREDES INTERNAS C/ MASSA ACRÖLICA DUAS DEMÇOS</v>
      </c>
      <c r="B54" s="33" t="str">
        <f>MASTER!C46</f>
        <v>M2</v>
      </c>
      <c r="C54" s="33">
        <f>MASTER!D46</f>
        <v>30</v>
      </c>
      <c r="D54" s="34"/>
      <c r="E54" s="34"/>
      <c r="F54" s="34"/>
      <c r="G54" s="34"/>
      <c r="H54" s="34"/>
      <c r="I54" s="34"/>
      <c r="J54" s="34"/>
      <c r="K54" s="33"/>
      <c r="L54" s="34"/>
      <c r="M54" s="34"/>
      <c r="N54" s="34"/>
      <c r="O54" s="34"/>
      <c r="P54" s="34"/>
      <c r="Q54" s="34"/>
      <c r="R54" s="34"/>
      <c r="S54" s="34"/>
    </row>
    <row r="55" spans="1:19" x14ac:dyDescent="0.3">
      <c r="A55" s="32" t="str">
        <f>MASTER!B47</f>
        <v>VASO SANITµRIO SIFONADO COM CAIXA ACOPLADA, LOU€A BRANCA - PADRÇO ALTO - FORNECIMENTO E INSTALA€ÇO. AF_01/2020 CS: 100878</v>
      </c>
      <c r="B55" s="33" t="str">
        <f>MASTER!C47</f>
        <v>UN</v>
      </c>
      <c r="C55" s="33">
        <f>MASTER!D47</f>
        <v>1</v>
      </c>
      <c r="D55" s="34"/>
      <c r="E55" s="34"/>
      <c r="F55" s="34"/>
      <c r="G55" s="34"/>
      <c r="H55" s="34"/>
      <c r="I55" s="34"/>
      <c r="J55" s="34"/>
      <c r="K55" s="33"/>
      <c r="L55" s="34"/>
      <c r="M55" s="34"/>
      <c r="N55" s="34"/>
      <c r="O55" s="34"/>
      <c r="P55" s="34"/>
      <c r="Q55" s="34"/>
      <c r="R55" s="34"/>
      <c r="S55" s="34"/>
    </row>
    <row r="56" spans="1:19" x14ac:dyDescent="0.3">
      <c r="A56" s="32" t="str">
        <f>MASTER!B48</f>
        <v>ASSENTO SANITµRIO CONVENCIONAL - FORNECIMENTO E INSTALACAO. AF_01/2020 CS: 100849</v>
      </c>
      <c r="B56" s="33" t="str">
        <f>MASTER!C48</f>
        <v>UN</v>
      </c>
      <c r="C56" s="33">
        <f>MASTER!D48</f>
        <v>5</v>
      </c>
      <c r="D56" s="34"/>
      <c r="E56" s="34"/>
      <c r="F56" s="34"/>
      <c r="G56" s="34"/>
      <c r="H56" s="34"/>
      <c r="I56" s="34"/>
      <c r="J56" s="34"/>
      <c r="K56" s="33"/>
      <c r="L56" s="34"/>
      <c r="M56" s="34"/>
      <c r="N56" s="34"/>
      <c r="O56" s="34"/>
      <c r="P56" s="34"/>
      <c r="Q56" s="34"/>
      <c r="R56" s="34"/>
      <c r="S56" s="34"/>
    </row>
    <row r="57" spans="1:19" x14ac:dyDescent="0.3">
      <c r="A57" s="32" t="str">
        <f>MASTER!B49</f>
        <v>TORNEIRA CROMADA DE MESA PARA LAVATàRIOCOM SENSOR DE PRESENCA. AF_01/2020 CS: 100854</v>
      </c>
      <c r="B57" s="33" t="str">
        <f>MASTER!C49</f>
        <v>UN</v>
      </c>
      <c r="C57" s="33">
        <f>MASTER!D49</f>
        <v>2</v>
      </c>
      <c r="D57" s="34"/>
      <c r="E57" s="34"/>
      <c r="F57" s="34"/>
      <c r="G57" s="34"/>
      <c r="H57" s="34"/>
      <c r="I57" s="34"/>
      <c r="J57" s="34"/>
      <c r="K57" s="33"/>
      <c r="L57" s="34"/>
      <c r="M57" s="34"/>
      <c r="N57" s="34"/>
      <c r="O57" s="34"/>
      <c r="P57" s="34"/>
      <c r="Q57" s="34"/>
      <c r="R57" s="34"/>
      <c r="S57" s="34"/>
    </row>
    <row r="58" spans="1:19" x14ac:dyDescent="0.3">
      <c r="A58" s="32" t="str">
        <f>MASTER!B50</f>
        <v>LAVATàRIO LOU€A BRANCA COM COLUNA, 45 X55CM OU EQUIVALENTE, PADRÇO MDIO, INCLUSO SIFÇO TIPO GARRAFA, VµLVULA E ENGATEFLEXÖVEL DE 40CM EM METAL CROMADO, COM APARELHO MISTURADOR PADRÇO MDIO - FORNEC</v>
      </c>
      <c r="B58" s="33" t="str">
        <f>MASTER!C50</f>
        <v>UN</v>
      </c>
      <c r="C58" s="33">
        <f>MASTER!D50</f>
        <v>1</v>
      </c>
      <c r="D58" s="34"/>
      <c r="E58" s="34"/>
      <c r="F58" s="34"/>
      <c r="G58" s="34"/>
      <c r="H58" s="34"/>
      <c r="I58" s="34"/>
      <c r="J58" s="34"/>
      <c r="K58" s="33"/>
      <c r="L58" s="34"/>
      <c r="M58" s="34"/>
      <c r="N58" s="34"/>
      <c r="O58" s="34"/>
      <c r="P58" s="34"/>
      <c r="Q58" s="34"/>
      <c r="R58" s="34"/>
      <c r="S58" s="34"/>
    </row>
    <row r="59" spans="1:19" x14ac:dyDescent="0.3">
      <c r="A59" s="32" t="str">
        <f>MASTER!B51</f>
        <v>BANCADA MµRMORE BRANCO, 50 X 60 CM, INCLUSO CUBA DE EMBUTIR OVAL EM LOU€A BRANCA 35 X 50 CM, VµLVULA, SIFÇO TIPO GARRAFA E ENGATE FLEXÖVEL 40 CM EM METAL CROMADO E APARELHO MISTURADOR DE MESA, PADRÇO</v>
      </c>
      <c r="B59" s="33" t="str">
        <f>MASTER!C51</f>
        <v>UN</v>
      </c>
      <c r="C59" s="33">
        <f>MASTER!D51</f>
        <v>1</v>
      </c>
      <c r="D59" s="34"/>
      <c r="E59" s="34"/>
      <c r="F59" s="34"/>
      <c r="G59" s="34"/>
      <c r="H59" s="34"/>
      <c r="I59" s="34"/>
      <c r="J59" s="34"/>
      <c r="K59" s="33"/>
      <c r="L59" s="34"/>
      <c r="M59" s="34"/>
      <c r="N59" s="34"/>
      <c r="O59" s="34"/>
      <c r="P59" s="34"/>
      <c r="Q59" s="34"/>
      <c r="R59" s="34"/>
      <c r="S59" s="34"/>
    </row>
    <row r="60" spans="1:19" x14ac:dyDescent="0.3">
      <c r="A60" s="32" t="str">
        <f>MASTER!B52</f>
        <v>KIT DE ACESSORIOS PARA BANHEIRO EM METAL CROMADO, 5 PECAS, INCLUSO FIXA€ÇO. AF_01/2020 CS: 95546</v>
      </c>
      <c r="B60" s="33" t="str">
        <f>MASTER!C52</f>
        <v>UN</v>
      </c>
      <c r="C60" s="33">
        <f>MASTER!D52</f>
        <v>1</v>
      </c>
      <c r="D60" s="34"/>
      <c r="E60" s="34"/>
      <c r="F60" s="34"/>
      <c r="G60" s="34"/>
      <c r="H60" s="34"/>
      <c r="I60" s="34"/>
      <c r="J60" s="34"/>
      <c r="K60" s="33"/>
      <c r="L60" s="34"/>
      <c r="M60" s="34"/>
      <c r="N60" s="34"/>
      <c r="O60" s="34"/>
      <c r="P60" s="34"/>
      <c r="Q60" s="34"/>
      <c r="R60" s="34"/>
      <c r="S60" s="34"/>
    </row>
    <row r="61" spans="1:19" x14ac:dyDescent="0.3">
      <c r="A61" s="32" t="str">
        <f>MASTER!B53</f>
        <v>JANELA DE A€O GALVANIZADO TIPO MAXIM-AR, COM BATENTE, FERRAGENS, PINTURA ANTICORROSIVA E GRADE, 1 FOLHA, EXCLUSIVE ALIZAR E CONTRAMARCO, FIXA€ÇO COM ARGAMASSA - FORNECIMENTO E INSTALA€ÇO. AF_11/2024 C</v>
      </c>
      <c r="B61" s="33" t="str">
        <f>MASTER!C53</f>
        <v>M2</v>
      </c>
      <c r="C61" s="33">
        <f>MASTER!D53</f>
        <v>4</v>
      </c>
      <c r="D61" s="34"/>
      <c r="E61" s="34"/>
      <c r="F61" s="34"/>
      <c r="G61" s="34"/>
      <c r="H61" s="34"/>
      <c r="I61" s="34"/>
      <c r="J61" s="34"/>
      <c r="K61" s="33"/>
      <c r="L61" s="34"/>
      <c r="M61" s="34"/>
      <c r="N61" s="34"/>
      <c r="O61" s="34"/>
      <c r="P61" s="34"/>
      <c r="Q61" s="34"/>
      <c r="R61" s="34"/>
      <c r="S61" s="34"/>
    </row>
    <row r="62" spans="1:19" x14ac:dyDescent="0.3">
      <c r="A62" s="32" t="str">
        <f>MASTER!B54</f>
        <v>PORTA DE ABRIR COM MOLA HIDRµULICA, EM VIDRO TEMPERADO, 90X210 CM, ESPESSURA 10MM, INCLUSIVE ACESSàRIOS. AF_01/2021 CS: 102184</v>
      </c>
      <c r="B62" s="33" t="str">
        <f>MASTER!C54</f>
        <v>UN</v>
      </c>
      <c r="C62" s="33">
        <f>MASTER!D54</f>
        <v>1</v>
      </c>
      <c r="D62" s="34"/>
      <c r="E62" s="34"/>
      <c r="F62" s="34"/>
      <c r="G62" s="34"/>
      <c r="H62" s="34"/>
      <c r="I62" s="34"/>
      <c r="J62" s="34"/>
      <c r="K62" s="33"/>
      <c r="L62" s="34"/>
      <c r="M62" s="34"/>
      <c r="N62" s="34"/>
      <c r="O62" s="34"/>
      <c r="P62" s="34"/>
      <c r="Q62" s="34"/>
      <c r="R62" s="34"/>
      <c r="S62" s="34"/>
    </row>
    <row r="63" spans="1:19" x14ac:dyDescent="0.3">
      <c r="A63" s="32" t="str">
        <f>MASTER!B55</f>
        <v>RETIRADA DE CONJUNTO DE ELETRODUTOS,ACESSàRIOS E CABOS</v>
      </c>
      <c r="B63" s="33" t="str">
        <f>MASTER!C55</f>
        <v>M</v>
      </c>
      <c r="C63" s="33">
        <f>MASTER!D55</f>
        <v>1</v>
      </c>
      <c r="D63" s="34"/>
      <c r="E63" s="34"/>
      <c r="F63" s="34"/>
      <c r="G63" s="34"/>
      <c r="H63" s="34"/>
      <c r="I63" s="34"/>
      <c r="J63" s="34"/>
      <c r="K63" s="33"/>
      <c r="L63" s="34"/>
      <c r="M63" s="34"/>
      <c r="N63" s="34"/>
      <c r="O63" s="34"/>
      <c r="P63" s="34"/>
      <c r="Q63" s="34"/>
      <c r="R63" s="34"/>
      <c r="S63" s="34"/>
    </row>
    <row r="64" spans="1:19" x14ac:dyDescent="0.3">
      <c r="A64" s="32" t="str">
        <f>MASTER!B56</f>
        <v>CHUVEIRO ELETRâNICO, 127 (5500W) OU 220V(7800W), LORENZETTI ACQUA STORM ULTRA OU SIMILAR TCNICO -FORNECIMENTO E INSTALA€ÇO</v>
      </c>
      <c r="B64" s="33" t="str">
        <f>MASTER!C56</f>
        <v>UN</v>
      </c>
      <c r="C64" s="33">
        <f>MASTER!D56</f>
        <v>1</v>
      </c>
      <c r="D64" s="34"/>
      <c r="E64" s="34"/>
      <c r="F64" s="34"/>
      <c r="G64" s="34"/>
      <c r="H64" s="34"/>
      <c r="I64" s="34"/>
      <c r="J64" s="34"/>
      <c r="K64" s="33"/>
      <c r="L64" s="34"/>
      <c r="M64" s="34"/>
      <c r="N64" s="34"/>
      <c r="O64" s="34"/>
      <c r="P64" s="34"/>
      <c r="Q64" s="34"/>
      <c r="R64" s="34"/>
      <c r="S64" s="34"/>
    </row>
    <row r="65" spans="1:19" x14ac:dyDescent="0.3">
      <c r="A65" s="32" t="str">
        <f>MASTER!B57</f>
        <v>INSTALAÇÃO ELÉTRICA</v>
      </c>
      <c r="B65" s="33">
        <f>MASTER!C57</f>
        <v>0</v>
      </c>
      <c r="C65" s="33">
        <f>MASTER!D57</f>
        <v>0</v>
      </c>
      <c r="D65" s="34"/>
      <c r="E65" s="34"/>
      <c r="F65" s="34"/>
      <c r="G65" s="34"/>
      <c r="H65" s="34"/>
      <c r="I65" s="34"/>
      <c r="J65" s="34"/>
      <c r="K65" s="33"/>
      <c r="L65" s="34"/>
      <c r="M65" s="34"/>
      <c r="N65" s="34"/>
      <c r="O65" s="34"/>
      <c r="P65" s="34"/>
      <c r="Q65" s="34"/>
      <c r="R65" s="34"/>
      <c r="S65" s="34"/>
    </row>
    <row r="66" spans="1:19" x14ac:dyDescent="0.3">
      <c r="A66" s="32" t="str">
        <f>MASTER!B58</f>
        <v>LUMINµRIA COMPLETA DE SOBREPOR COM 2 L¶MPADAS TUBULARES LED DE 18W E CORPO EM CHAPA DE A€O TRATADA COM PINTURA ELETROSTµTICA, DOTADAS DE REFLETOR E ALETAS EM ALUMÖNIO DE ALTO BRILHO</v>
      </c>
      <c r="B66" s="33" t="str">
        <f>MASTER!C58</f>
        <v>UN</v>
      </c>
      <c r="C66" s="33">
        <f>MASTER!D58</f>
        <v>25</v>
      </c>
      <c r="D66" s="34"/>
      <c r="E66" s="34"/>
      <c r="F66" s="34"/>
      <c r="G66" s="34"/>
      <c r="H66" s="34"/>
      <c r="I66" s="34"/>
      <c r="J66" s="34"/>
      <c r="K66" s="33"/>
      <c r="L66" s="34"/>
      <c r="M66" s="34"/>
      <c r="N66" s="34"/>
      <c r="O66" s="34"/>
      <c r="P66" s="34"/>
      <c r="Q66" s="34"/>
      <c r="R66" s="34"/>
      <c r="S66" s="34"/>
    </row>
    <row r="67" spans="1:19" x14ac:dyDescent="0.3">
      <c r="A67" s="32" t="str">
        <f>MASTER!B59</f>
        <v>PONTO SECO PARA INSTALA€ÇO DE SOM,TV,ALARME E LàGICA, INCLUINDO ELETRODUTODE PVC RÖGIDO E CAIXA COM ESPELHO</v>
      </c>
      <c r="B67" s="33" t="str">
        <f>MASTER!C59</f>
        <v>UN</v>
      </c>
      <c r="C67" s="33">
        <f>MASTER!D59</f>
        <v>4</v>
      </c>
      <c r="D67" s="34"/>
      <c r="E67" s="34"/>
      <c r="F67" s="34"/>
      <c r="G67" s="34"/>
      <c r="H67" s="34"/>
      <c r="I67" s="34"/>
      <c r="J67" s="34"/>
      <c r="K67" s="33"/>
      <c r="L67" s="34"/>
      <c r="M67" s="34"/>
      <c r="N67" s="34"/>
      <c r="O67" s="34"/>
      <c r="P67" s="34"/>
      <c r="Q67" s="34"/>
      <c r="R67" s="34"/>
      <c r="S67" s="34"/>
    </row>
    <row r="68" spans="1:19" x14ac:dyDescent="0.3">
      <c r="A68" s="32" t="str">
        <f>MASTER!B60</f>
        <v>CABO DE COBRE FLEXÖVEL ISOLADO, 6 MMý, ANTI-CHAMA 0,6/1,0 KV, PARA CIRCUITOS TERMINAIS - FORNECIMENTO E INSTALA€ÇO. AF_03/2023 CS: 91931</v>
      </c>
      <c r="B68" s="33" t="str">
        <f>MASTER!C60</f>
        <v>M</v>
      </c>
      <c r="C68" s="33">
        <f>MASTER!D60</f>
        <v>250</v>
      </c>
      <c r="D68" s="34"/>
      <c r="E68" s="34"/>
      <c r="F68" s="34"/>
      <c r="G68" s="34"/>
      <c r="H68" s="34"/>
      <c r="I68" s="34"/>
      <c r="J68" s="34"/>
      <c r="K68" s="33"/>
      <c r="L68" s="34"/>
      <c r="M68" s="34"/>
      <c r="N68" s="34"/>
      <c r="O68" s="34"/>
      <c r="P68" s="34"/>
      <c r="Q68" s="34"/>
      <c r="R68" s="34"/>
      <c r="S68" s="34"/>
    </row>
    <row r="69" spans="1:19" x14ac:dyDescent="0.3">
      <c r="A69" s="32" t="str">
        <f>MASTER!B61</f>
        <v>CABO DE COBRE FLEXÖVEL ISOLADO, 2,5 MMý, ANTI-CHAMA 450/750 V, PARA CIRCUITOS TERMINAIS - FORNECIMENTO E INSTALA€ÇO. AF_03/2023 CS: 91926</v>
      </c>
      <c r="B69" s="33" t="str">
        <f>MASTER!C61</f>
        <v>M</v>
      </c>
      <c r="C69" s="33">
        <f>MASTER!D61</f>
        <v>750</v>
      </c>
      <c r="D69" s="34"/>
      <c r="E69" s="34"/>
      <c r="F69" s="34"/>
      <c r="G69" s="34"/>
      <c r="H69" s="34"/>
      <c r="I69" s="34"/>
      <c r="J69" s="34"/>
      <c r="K69" s="33"/>
      <c r="L69" s="34"/>
      <c r="M69" s="34"/>
      <c r="N69" s="34"/>
      <c r="O69" s="34"/>
      <c r="P69" s="34"/>
      <c r="Q69" s="34"/>
      <c r="R69" s="34"/>
      <c r="S69" s="34"/>
    </row>
    <row r="70" spans="1:19" x14ac:dyDescent="0.3">
      <c r="A70" s="32" t="str">
        <f>MASTER!B62</f>
        <v>QUADRO DE DISTRIBUI€ÇO DE LUZ EM CHAPA DE A€O DE SOBREPOR, AT 64 DIVISåES MODULARES, DIMENSåES EXTERNAS 973X405X95MM SEM BARRAMENTO</v>
      </c>
      <c r="B70" s="33" t="str">
        <f>MASTER!C62</f>
        <v>UN</v>
      </c>
      <c r="C70" s="33">
        <f>MASTER!D62</f>
        <v>1</v>
      </c>
      <c r="D70" s="34"/>
      <c r="E70" s="34"/>
      <c r="F70" s="34"/>
      <c r="G70" s="34"/>
      <c r="H70" s="34"/>
      <c r="I70" s="34"/>
      <c r="J70" s="34"/>
      <c r="K70" s="33"/>
      <c r="L70" s="34"/>
      <c r="M70" s="34"/>
      <c r="N70" s="34"/>
      <c r="O70" s="34"/>
      <c r="P70" s="34"/>
      <c r="Q70" s="34"/>
      <c r="R70" s="34"/>
      <c r="S70" s="34"/>
    </row>
    <row r="71" spans="1:19" x14ac:dyDescent="0.3">
      <c r="A71" s="32" t="str">
        <f>MASTER!B63</f>
        <v>ELETRODUTO RÖGIDO ROSCµVEL, PVC, DN 25 MM (3/4), PARA CIRCUITOS TERMINAIS, INSTALADO EM FORRO - FORNECIMENTO E INSTALA€ÇO. AF_03/2023 CS: 91863</v>
      </c>
      <c r="B71" s="33" t="str">
        <f>MASTER!C63</f>
        <v>M</v>
      </c>
      <c r="C71" s="33">
        <f>MASTER!D63</f>
        <v>150</v>
      </c>
      <c r="D71" s="34"/>
      <c r="E71" s="34"/>
      <c r="F71" s="34"/>
      <c r="G71" s="34"/>
      <c r="H71" s="34"/>
      <c r="I71" s="34"/>
      <c r="J71" s="34"/>
      <c r="K71" s="33"/>
      <c r="L71" s="34"/>
      <c r="M71" s="34"/>
      <c r="N71" s="34"/>
      <c r="O71" s="34"/>
      <c r="P71" s="34"/>
      <c r="Q71" s="34"/>
      <c r="R71" s="34"/>
      <c r="S71" s="34"/>
    </row>
    <row r="72" spans="1:19" x14ac:dyDescent="0.3">
      <c r="A72" s="32" t="str">
        <f>MASTER!B64</f>
        <v>ABRA€ADEIRA EM A€O TIPO D, COM CUNHA, PARA ELETRODUTOS DN 1, INCLUSIVE ACESSàRIOS DE FIXA€ÇO - FORNECIMENTO E INSTALA€ÇO</v>
      </c>
      <c r="B72" s="33" t="str">
        <f>MASTER!C64</f>
        <v>UN</v>
      </c>
      <c r="C72" s="33">
        <f>MASTER!D64</f>
        <v>200</v>
      </c>
      <c r="D72" s="34"/>
      <c r="E72" s="34"/>
      <c r="F72" s="34"/>
      <c r="G72" s="34"/>
      <c r="H72" s="34"/>
      <c r="I72" s="34"/>
      <c r="J72" s="34"/>
      <c r="K72" s="33"/>
      <c r="L72" s="34"/>
      <c r="M72" s="34"/>
      <c r="N72" s="34"/>
      <c r="O72" s="34"/>
      <c r="P72" s="34"/>
      <c r="Q72" s="34"/>
      <c r="R72" s="34"/>
      <c r="S72" s="34"/>
    </row>
    <row r="73" spans="1:19" x14ac:dyDescent="0.3">
      <c r="A73" s="32" t="str">
        <f>MASTER!B65</f>
        <v>CURVA 90 GRAUS PARA ELETRODUTO, PVC, ROSCµVEL, DN 25 MM (3/4), PARA CIRCUITOS TERMINAIS, INSTALADA EM FORRO - FORNECIMENTO E INSTALA€ÇO. AF_03/2023 CS: 91890</v>
      </c>
      <c r="B73" s="33" t="str">
        <f>MASTER!C65</f>
        <v>UN</v>
      </c>
      <c r="C73" s="33">
        <f>MASTER!D65</f>
        <v>22</v>
      </c>
      <c r="D73" s="34"/>
      <c r="E73" s="34"/>
      <c r="F73" s="34"/>
      <c r="G73" s="34"/>
      <c r="H73" s="34"/>
      <c r="I73" s="34"/>
      <c r="J73" s="34"/>
      <c r="K73" s="33"/>
      <c r="L73" s="34"/>
      <c r="M73" s="34"/>
      <c r="N73" s="34"/>
      <c r="O73" s="34"/>
      <c r="P73" s="34"/>
      <c r="Q73" s="34"/>
      <c r="R73" s="34"/>
      <c r="S73" s="34"/>
    </row>
    <row r="74" spans="1:19" x14ac:dyDescent="0.3">
      <c r="A74" s="32" t="str">
        <f>MASTER!B66</f>
        <v>LUVA PARA ELETRODUTO, PVC, ROSCµVEL, DN25 MM (3/4), PARA CIRCUITOS TERMINAIS, INSTALADA EM FORRO - FORNECIMENTO E INSTALA€ÇO. AF_03/2023 CS: 91875</v>
      </c>
      <c r="B74" s="33" t="str">
        <f>MASTER!C66</f>
        <v>UN</v>
      </c>
      <c r="C74" s="33">
        <f>MASTER!D66</f>
        <v>35</v>
      </c>
      <c r="D74" s="34"/>
      <c r="E74" s="34"/>
      <c r="F74" s="34"/>
      <c r="G74" s="34"/>
      <c r="H74" s="34"/>
      <c r="I74" s="34"/>
      <c r="J74" s="34"/>
      <c r="K74" s="33"/>
      <c r="L74" s="34"/>
      <c r="M74" s="34"/>
      <c r="N74" s="34"/>
      <c r="O74" s="34"/>
      <c r="P74" s="34"/>
      <c r="Q74" s="34"/>
      <c r="R74" s="34"/>
      <c r="S74" s="34"/>
    </row>
    <row r="75" spans="1:19" x14ac:dyDescent="0.3">
      <c r="A75" s="32" t="str">
        <f>MASTER!B67</f>
        <v>BOX RETO EM ALUMÖNIO DI¶METRO 1- FORNECIMENTO E INSTALA€ÇO</v>
      </c>
      <c r="B75" s="33" t="str">
        <f>MASTER!C67</f>
        <v>UN</v>
      </c>
      <c r="C75" s="33">
        <f>MASTER!D67</f>
        <v>60</v>
      </c>
      <c r="D75" s="34"/>
      <c r="E75" s="34"/>
      <c r="F75" s="34"/>
      <c r="G75" s="34"/>
      <c r="H75" s="34"/>
      <c r="I75" s="34"/>
      <c r="J75" s="34"/>
      <c r="K75" s="33"/>
      <c r="L75" s="34"/>
      <c r="M75" s="34"/>
      <c r="N75" s="34"/>
      <c r="O75" s="34"/>
      <c r="P75" s="34"/>
      <c r="Q75" s="34"/>
      <c r="R75" s="34"/>
      <c r="S75" s="34"/>
    </row>
    <row r="76" spans="1:19" x14ac:dyDescent="0.3">
      <c r="A76" s="32" t="str">
        <f>MASTER!B68</f>
        <v>DISPOSITIVO DE PROTE€ÇO CONTRA SURTO DETENSÇO DPS 20KA - 275V - CLAMPER OU SIMILAR - FORNECIMENTO E INSTALA€ÇO</v>
      </c>
      <c r="B76" s="33" t="str">
        <f>MASTER!C68</f>
        <v>UN</v>
      </c>
      <c r="C76" s="33">
        <f>MASTER!D68</f>
        <v>4</v>
      </c>
      <c r="D76" s="34"/>
      <c r="E76" s="34"/>
      <c r="F76" s="34"/>
      <c r="G76" s="34"/>
      <c r="H76" s="34"/>
      <c r="I76" s="34"/>
      <c r="J76" s="34"/>
      <c r="K76" s="33"/>
      <c r="L76" s="34"/>
      <c r="M76" s="34"/>
      <c r="N76" s="34"/>
      <c r="O76" s="34"/>
      <c r="P76" s="34"/>
      <c r="Q76" s="34"/>
      <c r="R76" s="34"/>
      <c r="S76" s="34"/>
    </row>
    <row r="77" spans="1:19" x14ac:dyDescent="0.3">
      <c r="A77" s="32" t="str">
        <f>MASTER!B69</f>
        <v>ETIQUETA ADESIVA COM IDENTIFICA€ÇO DE VOLTAGEM CABO DE REDE E TV, ROTEADOR, SOM, FIOS, CONECTORES E ETC</v>
      </c>
      <c r="B77" s="33" t="str">
        <f>MASTER!C69</f>
        <v>UN</v>
      </c>
      <c r="C77" s="33">
        <f>MASTER!D69</f>
        <v>14</v>
      </c>
      <c r="D77" s="34"/>
      <c r="E77" s="34"/>
      <c r="F77" s="34"/>
      <c r="G77" s="34"/>
      <c r="H77" s="34"/>
      <c r="I77" s="34"/>
      <c r="J77" s="34"/>
      <c r="K77" s="33"/>
      <c r="L77" s="34"/>
      <c r="M77" s="34"/>
      <c r="N77" s="34"/>
      <c r="O77" s="34"/>
      <c r="P77" s="34"/>
      <c r="Q77" s="34"/>
      <c r="R77" s="34"/>
      <c r="S77" s="34"/>
    </row>
    <row r="78" spans="1:19" x14ac:dyDescent="0.3">
      <c r="A78" s="32" t="str">
        <f>MASTER!B70</f>
        <v>PARAFUSO CABE€A LENTILHA AUTO TRAV 1/4 X1/2</v>
      </c>
      <c r="B78" s="33" t="str">
        <f>MASTER!C70</f>
        <v>UN</v>
      </c>
      <c r="C78" s="33">
        <f>MASTER!D70</f>
        <v>1800</v>
      </c>
      <c r="D78" s="34"/>
      <c r="E78" s="34"/>
      <c r="F78" s="34"/>
      <c r="G78" s="34"/>
      <c r="H78" s="34"/>
      <c r="I78" s="34"/>
      <c r="J78" s="34"/>
      <c r="K78" s="33"/>
      <c r="L78" s="34"/>
      <c r="M78" s="34"/>
      <c r="N78" s="34"/>
      <c r="O78" s="34"/>
      <c r="P78" s="34"/>
      <c r="Q78" s="34"/>
      <c r="R78" s="34"/>
      <c r="S78" s="34"/>
    </row>
    <row r="79" spans="1:19" x14ac:dyDescent="0.3">
      <c r="A79" s="32" t="str">
        <f>MASTER!B71</f>
        <v>BUCHA COM ARRUELA ALUMINIO 1. 1/2, PARAELETRODUTO - FORNECIMENTO E INSTALA€ÇO</v>
      </c>
      <c r="B79" s="33" t="str">
        <f>MASTER!C71</f>
        <v>UN</v>
      </c>
      <c r="C79" s="33">
        <f>MASTER!D71</f>
        <v>500</v>
      </c>
      <c r="D79" s="34"/>
      <c r="E79" s="34"/>
      <c r="F79" s="34"/>
      <c r="G79" s="34"/>
      <c r="H79" s="34"/>
      <c r="I79" s="34"/>
      <c r="J79" s="34"/>
      <c r="K79" s="33"/>
      <c r="L79" s="34"/>
      <c r="M79" s="34"/>
      <c r="N79" s="34"/>
      <c r="O79" s="34"/>
      <c r="P79" s="34"/>
      <c r="Q79" s="34"/>
      <c r="R79" s="34"/>
      <c r="S79" s="34"/>
    </row>
    <row r="80" spans="1:19" x14ac:dyDescent="0.3">
      <c r="A80" s="32" t="str">
        <f>MASTER!B72</f>
        <v>LÓGICA</v>
      </c>
      <c r="B80" s="33">
        <f>MASTER!C72</f>
        <v>0</v>
      </c>
      <c r="C80" s="33">
        <f>MASTER!D72</f>
        <v>0</v>
      </c>
      <c r="D80" s="34"/>
      <c r="E80" s="34"/>
      <c r="F80" s="34"/>
      <c r="G80" s="34"/>
      <c r="H80" s="34"/>
      <c r="I80" s="34"/>
      <c r="J80" s="34"/>
      <c r="K80" s="33"/>
      <c r="L80" s="34"/>
      <c r="M80" s="34"/>
      <c r="N80" s="34"/>
      <c r="O80" s="34"/>
      <c r="P80" s="34"/>
      <c r="Q80" s="34"/>
      <c r="R80" s="34"/>
      <c r="S80" s="34"/>
    </row>
    <row r="81" spans="1:19" x14ac:dyDescent="0.3">
      <c r="A81" s="32" t="str">
        <f>MASTER!B73</f>
        <v>TOMADA DUPLA PARA LàGICA RJ45, CAT.6,COMCAIXA PVC, SOBREPOR, COMPLETA</v>
      </c>
      <c r="B81" s="33" t="str">
        <f>MASTER!C73</f>
        <v>UN</v>
      </c>
      <c r="C81" s="33">
        <f>MASTER!D73</f>
        <v>27</v>
      </c>
      <c r="D81" s="34"/>
      <c r="E81" s="34"/>
      <c r="F81" s="34"/>
      <c r="G81" s="34"/>
      <c r="H81" s="34"/>
      <c r="I81" s="34"/>
      <c r="J81" s="34"/>
      <c r="K81" s="33"/>
      <c r="L81" s="34"/>
      <c r="M81" s="34"/>
      <c r="N81" s="34"/>
      <c r="O81" s="34"/>
      <c r="P81" s="34"/>
      <c r="Q81" s="34"/>
      <c r="R81" s="34"/>
      <c r="S81" s="34"/>
    </row>
    <row r="82" spans="1:19" x14ac:dyDescent="0.3">
      <c r="A82" s="32" t="str">
        <f>MASTER!B74</f>
        <v>CONECTOR RJ45 FÒMEA - CAT 6 - FORNECIMENTO E INSTALA€ÇO     ORSE:07164</v>
      </c>
      <c r="B82" s="33" t="str">
        <f>MASTER!C74</f>
        <v>UN</v>
      </c>
      <c r="C82" s="33">
        <f>MASTER!D74</f>
        <v>27</v>
      </c>
      <c r="D82" s="34"/>
      <c r="E82" s="34"/>
      <c r="F82" s="34"/>
      <c r="G82" s="34"/>
      <c r="H82" s="34"/>
      <c r="I82" s="34"/>
      <c r="J82" s="34"/>
      <c r="K82" s="33"/>
      <c r="L82" s="34"/>
      <c r="M82" s="34"/>
      <c r="N82" s="34"/>
      <c r="O82" s="34"/>
      <c r="P82" s="34"/>
      <c r="Q82" s="34"/>
      <c r="R82" s="34"/>
      <c r="S82" s="34"/>
    </row>
    <row r="83" spans="1:19" x14ac:dyDescent="0.3">
      <c r="A83" s="32" t="str">
        <f>MASTER!B75</f>
        <v>CONECTORIZA€ÇO (CRIMPAGEM)DE CABO UTPCAT 6 EM PATCH PAINEL</v>
      </c>
      <c r="B83" s="33" t="str">
        <f>MASTER!C75</f>
        <v>UN</v>
      </c>
      <c r="C83" s="33">
        <f>MASTER!D75</f>
        <v>50</v>
      </c>
      <c r="D83" s="34"/>
      <c r="E83" s="34"/>
      <c r="F83" s="34"/>
      <c r="G83" s="34"/>
      <c r="H83" s="34"/>
      <c r="I83" s="34"/>
      <c r="J83" s="34"/>
      <c r="K83" s="33"/>
      <c r="L83" s="34"/>
      <c r="M83" s="34"/>
      <c r="N83" s="34"/>
      <c r="O83" s="34"/>
      <c r="P83" s="34"/>
      <c r="Q83" s="34"/>
      <c r="R83" s="34"/>
      <c r="S83" s="34"/>
    </row>
    <row r="84" spans="1:19" x14ac:dyDescent="0.3">
      <c r="A84" s="32" t="str">
        <f>MASTER!B76</f>
        <v>CERTIFICA€ÇO DE REDE CAT 6</v>
      </c>
      <c r="B84" s="33" t="str">
        <f>MASTER!C76</f>
        <v>PTO</v>
      </c>
      <c r="C84" s="33">
        <f>MASTER!D76</f>
        <v>50</v>
      </c>
      <c r="D84" s="34"/>
      <c r="E84" s="34"/>
      <c r="F84" s="34"/>
      <c r="G84" s="34"/>
      <c r="H84" s="34"/>
      <c r="I84" s="34"/>
      <c r="J84" s="34"/>
      <c r="K84" s="33"/>
      <c r="L84" s="34"/>
      <c r="M84" s="34"/>
      <c r="N84" s="34"/>
      <c r="O84" s="34"/>
      <c r="P84" s="34"/>
      <c r="Q84" s="34"/>
      <c r="R84" s="34"/>
      <c r="S84" s="34"/>
    </row>
    <row r="85" spans="1:19" x14ac:dyDescent="0.3">
      <c r="A85" s="32" t="str">
        <f>MASTER!B77</f>
        <v>ELETRODUTO RÖGIDO ROSCµVEL, PVC, DN 25 MM (3/4), PARA CIRCUITOS TERMINAIS, INSTALADO EM PAREDE - FORNECIMENTO E INSTALA€ÇO. AF_03/2023 CS: 91871</v>
      </c>
      <c r="B85" s="33" t="str">
        <f>MASTER!C77</f>
        <v>M</v>
      </c>
      <c r="C85" s="33">
        <f>MASTER!D77</f>
        <v>200</v>
      </c>
      <c r="D85" s="34"/>
      <c r="E85" s="34"/>
      <c r="F85" s="34"/>
      <c r="G85" s="34"/>
      <c r="H85" s="34"/>
      <c r="I85" s="34"/>
      <c r="J85" s="34"/>
      <c r="K85" s="33"/>
      <c r="L85" s="34"/>
      <c r="M85" s="34"/>
      <c r="N85" s="34"/>
      <c r="O85" s="34"/>
      <c r="P85" s="34"/>
      <c r="Q85" s="34"/>
      <c r="R85" s="34"/>
      <c r="S85" s="34"/>
    </row>
    <row r="86" spans="1:19" x14ac:dyDescent="0.3">
      <c r="A86" s="32" t="str">
        <f>MASTER!B78</f>
        <v>CURVA 90 GRAUS PARA ELETRODUTO, PVC, ROSCµVEL, DN 25 MM (3/4), PARA CIRCUITOS TERMINAIS, INSTALADA EM PAREDE - FORNECIMENTO E INSTALA€ÇO. AF_03/2023 CS: 91914</v>
      </c>
      <c r="B86" s="33" t="str">
        <f>MASTER!C78</f>
        <v>UN</v>
      </c>
      <c r="C86" s="33">
        <f>MASTER!D78</f>
        <v>20</v>
      </c>
      <c r="D86" s="34"/>
      <c r="E86" s="34"/>
      <c r="F86" s="34"/>
      <c r="G86" s="34"/>
      <c r="H86" s="34"/>
      <c r="I86" s="34"/>
      <c r="J86" s="34"/>
      <c r="K86" s="33"/>
      <c r="L86" s="34"/>
      <c r="M86" s="34"/>
      <c r="N86" s="34"/>
      <c r="O86" s="34"/>
      <c r="P86" s="34"/>
      <c r="Q86" s="34"/>
      <c r="R86" s="34"/>
      <c r="S86" s="34"/>
    </row>
    <row r="87" spans="1:19" x14ac:dyDescent="0.3">
      <c r="A87" s="32" t="str">
        <f>MASTER!B79</f>
        <v>LUVA PARA ELETRODUTO, PVC, ROSCµVEL, DN25 MM (3/4), PARA CIRCUITOS TERMINAIS, INSTALADA EM PAREDE - FORNECIMENTO E INSTALA€ÇO. AF_03/2023 CS: 91884</v>
      </c>
      <c r="B87" s="33" t="str">
        <f>MASTER!C79</f>
        <v>UN</v>
      </c>
      <c r="C87" s="33">
        <f>MASTER!D79</f>
        <v>40</v>
      </c>
      <c r="D87" s="34"/>
      <c r="E87" s="34"/>
      <c r="F87" s="34"/>
      <c r="G87" s="34"/>
      <c r="H87" s="34"/>
      <c r="I87" s="34"/>
      <c r="J87" s="34"/>
      <c r="K87" s="33"/>
      <c r="L87" s="34"/>
      <c r="M87" s="34"/>
      <c r="N87" s="34"/>
      <c r="O87" s="34"/>
      <c r="P87" s="34"/>
      <c r="Q87" s="34"/>
      <c r="R87" s="34"/>
      <c r="S87" s="34"/>
    </row>
    <row r="88" spans="1:19" x14ac:dyDescent="0.3">
      <c r="A88" s="32" t="str">
        <f>MASTER!B80</f>
        <v>ABRA€ADEIRA EM PVC PARA ELETRODUTO PARACONDULETE =3/4, INCLUINDO BUCHA E PARAFUSO</v>
      </c>
      <c r="B88" s="33" t="str">
        <f>MASTER!C80</f>
        <v>UN</v>
      </c>
      <c r="C88" s="33">
        <f>MASTER!D80</f>
        <v>200</v>
      </c>
      <c r="D88" s="34"/>
      <c r="E88" s="34"/>
      <c r="F88" s="34"/>
      <c r="G88" s="34"/>
      <c r="H88" s="34"/>
      <c r="I88" s="34"/>
      <c r="J88" s="34"/>
      <c r="K88" s="33"/>
      <c r="L88" s="34"/>
      <c r="M88" s="34"/>
      <c r="N88" s="34"/>
      <c r="O88" s="34"/>
      <c r="P88" s="34"/>
      <c r="Q88" s="34"/>
      <c r="R88" s="34"/>
      <c r="S88" s="34"/>
    </row>
    <row r="89" spans="1:19" x14ac:dyDescent="0.3">
      <c r="A89" s="32" t="str">
        <f>MASTER!B81</f>
        <v>ELETROCALHA PERFURADA EM A€O GALVANIZADO 150X100X3000MM COM TAMPA - FORNECIMENTOE INSTALA€ÇO</v>
      </c>
      <c r="B89" s="33" t="str">
        <f>MASTER!C81</f>
        <v>UN</v>
      </c>
      <c r="C89" s="33">
        <f>MASTER!D81</f>
        <v>18</v>
      </c>
      <c r="D89" s="34"/>
      <c r="E89" s="34"/>
      <c r="F89" s="34"/>
      <c r="G89" s="34"/>
      <c r="H89" s="34"/>
      <c r="I89" s="34"/>
      <c r="J89" s="34"/>
      <c r="K89" s="33"/>
      <c r="L89" s="34"/>
      <c r="M89" s="34"/>
      <c r="N89" s="34"/>
      <c r="O89" s="34"/>
      <c r="P89" s="34"/>
      <c r="Q89" s="34"/>
      <c r="R89" s="34"/>
      <c r="S89" s="34"/>
    </row>
    <row r="90" spans="1:19" x14ac:dyDescent="0.3">
      <c r="A90" s="32" t="str">
        <f>MASTER!B82</f>
        <v>EMENDA PARA ELETROCALHA 150X100MM - FORNECIMENTO E INSTALA€ÇO</v>
      </c>
      <c r="B90" s="33" t="str">
        <f>MASTER!C82</f>
        <v>UN</v>
      </c>
      <c r="C90" s="33">
        <f>MASTER!D82</f>
        <v>5</v>
      </c>
      <c r="D90" s="34"/>
      <c r="E90" s="34"/>
      <c r="F90" s="34"/>
      <c r="G90" s="34"/>
      <c r="H90" s="34"/>
      <c r="I90" s="34"/>
      <c r="J90" s="34"/>
      <c r="K90" s="33"/>
      <c r="L90" s="34"/>
      <c r="M90" s="34"/>
      <c r="N90" s="34"/>
      <c r="O90" s="34"/>
      <c r="P90" s="34"/>
      <c r="Q90" s="34"/>
      <c r="R90" s="34"/>
      <c r="S90" s="34"/>
    </row>
    <row r="91" spans="1:19" x14ac:dyDescent="0.3">
      <c r="A91" s="32" t="str">
        <f>MASTER!B83</f>
        <v>FIXA€ÇO PARA ELETROCALHA 150X100MM,COMSUPORTE , TIRANTE E PARAFUSO - FORNECIMENTO E INSTALA€ÇO</v>
      </c>
      <c r="B91" s="33" t="str">
        <f>MASTER!C83</f>
        <v>UN</v>
      </c>
      <c r="C91" s="33">
        <f>MASTER!D83</f>
        <v>18</v>
      </c>
      <c r="D91" s="34"/>
      <c r="E91" s="34"/>
      <c r="F91" s="34"/>
      <c r="G91" s="34"/>
      <c r="H91" s="34"/>
      <c r="I91" s="34"/>
      <c r="J91" s="34"/>
      <c r="K91" s="33"/>
      <c r="L91" s="34"/>
      <c r="M91" s="34"/>
      <c r="N91" s="34"/>
      <c r="O91" s="34"/>
      <c r="P91" s="34"/>
      <c r="Q91" s="34"/>
      <c r="R91" s="34"/>
      <c r="S91" s="34"/>
    </row>
    <row r="92" spans="1:19" x14ac:dyDescent="0.3">
      <c r="A92" s="32" t="str">
        <f>MASTER!B84</f>
        <v>CURVA 90§ VERTICAL PARA ELETROCALHA 150X100MM - FORNECIMENTO E INSTALA€ÇO</v>
      </c>
      <c r="B92" s="33" t="str">
        <f>MASTER!C84</f>
        <v>UN</v>
      </c>
      <c r="C92" s="33">
        <f>MASTER!D84</f>
        <v>1</v>
      </c>
      <c r="D92" s="34"/>
      <c r="E92" s="34"/>
      <c r="F92" s="34"/>
      <c r="G92" s="34"/>
      <c r="H92" s="34"/>
      <c r="I92" s="34"/>
      <c r="J92" s="34"/>
      <c r="K92" s="33"/>
      <c r="L92" s="34"/>
      <c r="M92" s="34"/>
      <c r="N92" s="34"/>
      <c r="O92" s="34"/>
      <c r="P92" s="34"/>
      <c r="Q92" s="34"/>
      <c r="R92" s="34"/>
      <c r="S92" s="34"/>
    </row>
    <row r="93" spans="1:19" x14ac:dyDescent="0.3">
      <c r="A93" s="32" t="str">
        <f>MASTER!B85</f>
        <v>CURVA 90§ HORIZONTAL PARA ELETROCALHA 100X100MM - FORNECIMENTO E INSTALA€ÇO</v>
      </c>
      <c r="B93" s="33" t="str">
        <f>MASTER!C85</f>
        <v>UN</v>
      </c>
      <c r="C93" s="33">
        <f>MASTER!D85</f>
        <v>1</v>
      </c>
      <c r="D93" s="34"/>
      <c r="E93" s="34"/>
      <c r="F93" s="34"/>
      <c r="G93" s="34"/>
      <c r="H93" s="34"/>
      <c r="I93" s="34"/>
      <c r="J93" s="34"/>
      <c r="K93" s="33"/>
      <c r="L93" s="34"/>
      <c r="M93" s="34"/>
      <c r="N93" s="34"/>
      <c r="O93" s="34"/>
      <c r="P93" s="34"/>
      <c r="Q93" s="34"/>
      <c r="R93" s="34"/>
      <c r="S93" s="34"/>
    </row>
    <row r="94" spans="1:19" x14ac:dyDescent="0.3">
      <c r="A94" s="32" t="str">
        <f>MASTER!B86</f>
        <v>TÒ PARA ELETROCALHA 200X100MM - FORNECIMENTO E INSTALA€ÇO</v>
      </c>
      <c r="B94" s="33" t="str">
        <f>MASTER!C86</f>
        <v>UN</v>
      </c>
      <c r="C94" s="33">
        <f>MASTER!D86</f>
        <v>1</v>
      </c>
      <c r="D94" s="34"/>
      <c r="E94" s="34"/>
      <c r="F94" s="34"/>
      <c r="G94" s="34"/>
      <c r="H94" s="34"/>
      <c r="I94" s="34"/>
      <c r="J94" s="34"/>
      <c r="K94" s="33"/>
      <c r="L94" s="34"/>
      <c r="M94" s="34"/>
      <c r="N94" s="34"/>
      <c r="O94" s="34"/>
      <c r="P94" s="34"/>
      <c r="Q94" s="34"/>
      <c r="R94" s="34"/>
      <c r="S94" s="34"/>
    </row>
    <row r="95" spans="1:19" x14ac:dyDescent="0.3">
      <c r="A95" s="32" t="str">
        <f>MASTER!B87</f>
        <v>RACK DE PISO 19 36U P870 PRETO COM PORTA EM ACRÖLICO - FORNECIMENTO E INSTALA€ÇO</v>
      </c>
      <c r="B95" s="33" t="str">
        <f>MASTER!C87</f>
        <v>UN</v>
      </c>
      <c r="C95" s="33">
        <f>MASTER!D87</f>
        <v>1</v>
      </c>
      <c r="D95" s="34"/>
      <c r="E95" s="34"/>
      <c r="F95" s="34"/>
      <c r="G95" s="34"/>
      <c r="H95" s="34"/>
      <c r="I95" s="34"/>
      <c r="J95" s="34"/>
      <c r="K95" s="33"/>
      <c r="L95" s="34"/>
      <c r="M95" s="34"/>
      <c r="N95" s="34"/>
      <c r="O95" s="34"/>
      <c r="P95" s="34"/>
      <c r="Q95" s="34"/>
      <c r="R95" s="34"/>
      <c r="S95" s="34"/>
    </row>
    <row r="96" spans="1:19" x14ac:dyDescent="0.3">
      <c r="A96" s="32" t="str">
        <f>MASTER!B88</f>
        <v>KIT PORCA GAIOLA</v>
      </c>
      <c r="B96" s="33" t="str">
        <f>MASTER!C88</f>
        <v>CJ</v>
      </c>
      <c r="C96" s="33">
        <f>MASTER!D88</f>
        <v>10</v>
      </c>
      <c r="D96" s="34"/>
      <c r="E96" s="34"/>
      <c r="F96" s="34"/>
      <c r="G96" s="34"/>
      <c r="H96" s="34"/>
      <c r="I96" s="34"/>
      <c r="J96" s="34"/>
      <c r="K96" s="33"/>
      <c r="L96" s="34"/>
      <c r="M96" s="34"/>
      <c r="N96" s="34"/>
      <c r="O96" s="34"/>
      <c r="P96" s="34"/>
      <c r="Q96" s="34"/>
      <c r="R96" s="34"/>
      <c r="S96" s="34"/>
    </row>
    <row r="97" spans="1:19" x14ac:dyDescent="0.3">
      <c r="A97" s="32" t="str">
        <f>MASTER!B89</f>
        <v>BANDEJA FIXA PARA RACK 19 900MM - FORNECIMENTO E INSTALA€ÇO   ORSE/11417</v>
      </c>
      <c r="B97" s="33" t="str">
        <f>MASTER!C89</f>
        <v>UN</v>
      </c>
      <c r="C97" s="33">
        <f>MASTER!D89</f>
        <v>2</v>
      </c>
      <c r="D97" s="34"/>
      <c r="E97" s="34"/>
      <c r="F97" s="34"/>
      <c r="G97" s="34"/>
      <c r="H97" s="34"/>
      <c r="I97" s="34"/>
      <c r="J97" s="34"/>
      <c r="K97" s="33"/>
      <c r="L97" s="34"/>
      <c r="M97" s="34"/>
      <c r="N97" s="34"/>
      <c r="O97" s="34"/>
      <c r="P97" s="34"/>
      <c r="Q97" s="34"/>
      <c r="R97" s="34"/>
      <c r="S97" s="34"/>
    </row>
    <row r="98" spans="1:19" x14ac:dyDescent="0.3">
      <c r="A98" s="32" t="str">
        <f>MASTER!B90</f>
        <v>ORGANIZA€ÇO DE RACK 19US, COM 1 PATCH PANEL 24P CAT 6, 1 VOICE PANEL 50, 20 PARAFUSOS PORCA GAIOLA E 1 GUIA DE CABO -FORNECIMENTO E INSTALA€ÇO</v>
      </c>
      <c r="B98" s="33" t="str">
        <f>MASTER!C90</f>
        <v>UN</v>
      </c>
      <c r="C98" s="33">
        <f>MASTER!D90</f>
        <v>1</v>
      </c>
      <c r="D98" s="34"/>
      <c r="E98" s="34"/>
      <c r="F98" s="34"/>
      <c r="G98" s="34"/>
      <c r="H98" s="34"/>
      <c r="I98" s="34"/>
      <c r="J98" s="34"/>
      <c r="K98" s="33"/>
      <c r="L98" s="34"/>
      <c r="M98" s="34"/>
      <c r="N98" s="34"/>
      <c r="O98" s="34"/>
      <c r="P98" s="34"/>
      <c r="Q98" s="34"/>
      <c r="R98" s="34"/>
      <c r="S98" s="34"/>
    </row>
    <row r="99" spans="1:19" x14ac:dyDescent="0.3">
      <c r="A99" s="32" t="str">
        <f>MASTER!B91</f>
        <v>VOICE PANEL 30 POSI€åES FURUKAWA OU EQUIVALENTE TCNICO - FORNECIMENTO E ISNTALA€ÇO</v>
      </c>
      <c r="B99" s="33" t="str">
        <f>MASTER!C91</f>
        <v>UN</v>
      </c>
      <c r="C99" s="33">
        <f>MASTER!D91</f>
        <v>1</v>
      </c>
      <c r="D99" s="34"/>
      <c r="E99" s="34"/>
      <c r="F99" s="34"/>
      <c r="G99" s="34"/>
      <c r="H99" s="34"/>
      <c r="I99" s="34"/>
      <c r="J99" s="34"/>
      <c r="K99" s="33"/>
      <c r="L99" s="34"/>
      <c r="M99" s="34"/>
      <c r="N99" s="34"/>
      <c r="O99" s="34"/>
      <c r="P99" s="34"/>
      <c r="Q99" s="34"/>
      <c r="R99" s="34"/>
      <c r="S99" s="34"/>
    </row>
    <row r="100" spans="1:19" x14ac:dyDescent="0.3">
      <c r="A100" s="32" t="str">
        <f>MASTER!B92</f>
        <v>PATCH PANEL 24 PORTAS, CATEGORIA 6 - FORNECIMENTO E INSTALA€ÇO. AF_11/2019 CS: 98302</v>
      </c>
      <c r="B100" s="33" t="str">
        <f>MASTER!C92</f>
        <v>UN</v>
      </c>
      <c r="C100" s="33">
        <f>MASTER!D92</f>
        <v>2</v>
      </c>
      <c r="D100" s="34"/>
      <c r="E100" s="34"/>
      <c r="F100" s="34"/>
      <c r="G100" s="34"/>
      <c r="H100" s="34"/>
      <c r="I100" s="34"/>
      <c r="J100" s="34"/>
      <c r="K100" s="33"/>
      <c r="L100" s="34"/>
      <c r="M100" s="34"/>
      <c r="N100" s="34"/>
      <c r="O100" s="34"/>
      <c r="P100" s="34"/>
      <c r="Q100" s="34"/>
      <c r="R100" s="34"/>
      <c r="S100" s="34"/>
    </row>
    <row r="101" spans="1:19" x14ac:dyDescent="0.3">
      <c r="A101" s="32" t="str">
        <f>MASTER!B93</f>
        <v>FUSÇO DE FIBRA àTICA</v>
      </c>
      <c r="B101" s="33" t="str">
        <f>MASTER!C93</f>
        <v>UN</v>
      </c>
      <c r="C101" s="33">
        <f>MASTER!D93</f>
        <v>28</v>
      </c>
      <c r="D101" s="34"/>
      <c r="E101" s="34"/>
      <c r="F101" s="34"/>
      <c r="G101" s="34"/>
      <c r="H101" s="34"/>
      <c r="I101" s="34"/>
      <c r="J101" s="34"/>
      <c r="K101" s="33"/>
      <c r="L101" s="34"/>
      <c r="M101" s="34"/>
      <c r="N101" s="34"/>
      <c r="O101" s="34"/>
      <c r="P101" s="34"/>
      <c r="Q101" s="34"/>
      <c r="R101" s="34"/>
      <c r="S101" s="34"/>
    </row>
    <row r="102" spans="1:19" x14ac:dyDescent="0.3">
      <c r="A102" s="32" t="str">
        <f>MASTER!B94</f>
        <v>PATCH CORD AZUL 1,5M CAT 6 E 2 CONECTORES RJ45 MACHO CAT6</v>
      </c>
      <c r="B102" s="33" t="str">
        <f>MASTER!C94</f>
        <v>UN</v>
      </c>
      <c r="C102" s="33">
        <f>MASTER!D94</f>
        <v>80</v>
      </c>
      <c r="D102" s="34"/>
      <c r="E102" s="34"/>
      <c r="F102" s="34"/>
      <c r="G102" s="34"/>
      <c r="H102" s="34"/>
      <c r="I102" s="34"/>
      <c r="J102" s="34"/>
      <c r="K102" s="33"/>
      <c r="L102" s="34"/>
      <c r="M102" s="34"/>
      <c r="N102" s="34"/>
      <c r="O102" s="34"/>
      <c r="P102" s="34"/>
      <c r="Q102" s="34"/>
      <c r="R102" s="34"/>
      <c r="S102" s="34"/>
    </row>
    <row r="103" spans="1:19" x14ac:dyDescent="0.3">
      <c r="A103" s="32" t="str">
        <f>MASTER!B95</f>
        <v>CABO UTP 4 PARES, CAT.6 FORNECIMENTO EINSTALA€ÇO</v>
      </c>
      <c r="B103" s="33" t="str">
        <f>MASTER!C95</f>
        <v>M</v>
      </c>
      <c r="C103" s="33">
        <f>MASTER!D95</f>
        <v>550</v>
      </c>
      <c r="D103" s="34"/>
      <c r="E103" s="34"/>
      <c r="F103" s="34"/>
      <c r="G103" s="34"/>
      <c r="H103" s="34"/>
      <c r="I103" s="34"/>
      <c r="J103" s="34"/>
      <c r="K103" s="33"/>
      <c r="L103" s="34"/>
      <c r="M103" s="34"/>
      <c r="N103" s="34"/>
      <c r="O103" s="34"/>
      <c r="P103" s="34"/>
      <c r="Q103" s="34"/>
      <c r="R103" s="34"/>
      <c r="S103" s="34"/>
    </row>
    <row r="104" spans="1:19" x14ac:dyDescent="0.3">
      <c r="A104" s="32" t="str">
        <f>MASTER!B96</f>
        <v>CERTIFICA€ÇO DE FIBRA àPTICA ATRAVS DEOTDR, SENTIDOS DE A PARA B E DE B PARA A, EM CABO COM 4 FIBRAS</v>
      </c>
      <c r="B104" s="33" t="str">
        <f>MASTER!C96</f>
        <v>UN</v>
      </c>
      <c r="C104" s="33">
        <f>MASTER!D96</f>
        <v>8</v>
      </c>
      <c r="D104" s="34"/>
      <c r="E104" s="34"/>
      <c r="F104" s="34"/>
      <c r="G104" s="34"/>
      <c r="H104" s="34"/>
      <c r="I104" s="34"/>
      <c r="J104" s="34"/>
      <c r="K104" s="33"/>
      <c r="L104" s="34"/>
      <c r="M104" s="34"/>
      <c r="N104" s="34"/>
      <c r="O104" s="34"/>
      <c r="P104" s="34"/>
      <c r="Q104" s="34"/>
      <c r="R104" s="34"/>
      <c r="S104" s="34"/>
    </row>
    <row r="105" spans="1:19" x14ac:dyDescent="0.3">
      <c r="A105" s="32" t="str">
        <f>MASTER!B97</f>
        <v>ELETRODUTO RÖGIDO ROSCµVEL, PVC, DN 110MM (4), PARA REDE ENTERRADA DE DISTRIBUI€ÇO DE ENERGIA ELTRICA - FORNECIMENTO E INSTALA€ÇO. AF_12/2021 CS: 93012</v>
      </c>
      <c r="B105" s="33" t="str">
        <f>MASTER!C97</f>
        <v>M</v>
      </c>
      <c r="C105" s="33">
        <f>MASTER!D97</f>
        <v>90</v>
      </c>
      <c r="D105" s="34"/>
      <c r="E105" s="34"/>
      <c r="F105" s="34"/>
      <c r="G105" s="34"/>
      <c r="H105" s="34"/>
      <c r="I105" s="34"/>
      <c r="J105" s="34"/>
      <c r="K105" s="33"/>
      <c r="L105" s="34"/>
      <c r="M105" s="34"/>
      <c r="N105" s="34"/>
      <c r="O105" s="34"/>
      <c r="P105" s="34"/>
      <c r="Q105" s="34"/>
      <c r="R105" s="34"/>
      <c r="S105" s="34"/>
    </row>
    <row r="106" spans="1:19" x14ac:dyDescent="0.3">
      <c r="A106" s="32" t="str">
        <f>MASTER!B98</f>
        <v>PARAFUSO CABE€A LENTILHA AUTO TRAV 1/4 X1/2</v>
      </c>
      <c r="B106" s="33" t="str">
        <f>MASTER!C98</f>
        <v>UN</v>
      </c>
      <c r="C106" s="33">
        <f>MASTER!D98</f>
        <v>1500</v>
      </c>
      <c r="D106" s="34"/>
      <c r="E106" s="34"/>
      <c r="F106" s="34"/>
      <c r="G106" s="34"/>
      <c r="H106" s="34"/>
      <c r="I106" s="34"/>
      <c r="J106" s="34"/>
      <c r="K106" s="33"/>
      <c r="L106" s="34"/>
      <c r="M106" s="34"/>
      <c r="N106" s="34"/>
      <c r="O106" s="34"/>
      <c r="P106" s="34"/>
      <c r="Q106" s="34"/>
      <c r="R106" s="34"/>
      <c r="S106" s="34"/>
    </row>
    <row r="107" spans="1:19" x14ac:dyDescent="0.3">
      <c r="A107" s="32" t="str">
        <f>MASTER!B99</f>
        <v>BUCHA COM ARRUELA ALUMINIO 1. 1/2, PARAELETRODUTO - FORNECIMENTO E INSTALA€ÇO</v>
      </c>
      <c r="B107" s="33" t="str">
        <f>MASTER!C99</f>
        <v>UN</v>
      </c>
      <c r="C107" s="33">
        <f>MASTER!D99</f>
        <v>200</v>
      </c>
      <c r="D107" s="34"/>
      <c r="E107" s="34"/>
      <c r="F107" s="34"/>
      <c r="G107" s="34"/>
      <c r="H107" s="34"/>
      <c r="I107" s="34"/>
      <c r="J107" s="34"/>
      <c r="K107" s="33"/>
      <c r="L107" s="34"/>
      <c r="M107" s="34"/>
      <c r="N107" s="34"/>
      <c r="O107" s="34"/>
      <c r="P107" s="34"/>
      <c r="Q107" s="34"/>
      <c r="R107" s="34"/>
      <c r="S107" s="34"/>
    </row>
    <row r="108" spans="1:19" x14ac:dyDescent="0.3">
      <c r="A108" s="32" t="str">
        <f>MASTER!B100</f>
        <v>COBERTURA</v>
      </c>
      <c r="B108" s="33">
        <f>MASTER!C100</f>
        <v>0</v>
      </c>
      <c r="C108" s="33">
        <f>MASTER!D100</f>
        <v>0</v>
      </c>
      <c r="D108" s="34"/>
      <c r="E108" s="34"/>
      <c r="F108" s="34"/>
      <c r="G108" s="34"/>
      <c r="H108" s="34"/>
      <c r="I108" s="34"/>
      <c r="J108" s="34"/>
      <c r="K108" s="33"/>
      <c r="L108" s="34"/>
      <c r="M108" s="34"/>
      <c r="N108" s="34"/>
      <c r="O108" s="34"/>
      <c r="P108" s="34"/>
      <c r="Q108" s="34"/>
      <c r="R108" s="34"/>
      <c r="S108" s="34"/>
    </row>
    <row r="109" spans="1:19" x14ac:dyDescent="0.3">
      <c r="A109" s="32" t="str">
        <f>MASTER!B101</f>
        <v>COBERTURA EM TELHA CERAMICA TIPO PAULISTA, COM ARGAMASSA TRACO 1:3 (CIMENTO E ARAREIA) E ARAME RECOZIDO</v>
      </c>
      <c r="B109" s="33" t="str">
        <f>MASTER!C101</f>
        <v>M2</v>
      </c>
      <c r="C109" s="33">
        <f>MASTER!D101</f>
        <v>50</v>
      </c>
      <c r="D109" s="34"/>
      <c r="E109" s="34"/>
      <c r="F109" s="34"/>
      <c r="G109" s="34"/>
      <c r="H109" s="34"/>
      <c r="I109" s="34"/>
      <c r="J109" s="34"/>
      <c r="K109" s="33"/>
      <c r="L109" s="34"/>
      <c r="M109" s="34"/>
      <c r="N109" s="34"/>
      <c r="O109" s="34"/>
      <c r="P109" s="34"/>
      <c r="Q109" s="34"/>
      <c r="R109" s="34"/>
      <c r="S109" s="34"/>
    </row>
    <row r="110" spans="1:19" x14ac:dyDescent="0.3">
      <c r="A110" s="32" t="str">
        <f>MASTER!B102</f>
        <v>DIVERSOS</v>
      </c>
      <c r="B110" s="33">
        <f>MASTER!C102</f>
        <v>0</v>
      </c>
      <c r="C110" s="33">
        <f>MASTER!D102</f>
        <v>0</v>
      </c>
      <c r="D110" s="34"/>
      <c r="E110" s="34"/>
      <c r="F110" s="34"/>
      <c r="G110" s="34"/>
      <c r="H110" s="34"/>
      <c r="I110" s="34"/>
      <c r="J110" s="34"/>
      <c r="K110" s="33"/>
      <c r="L110" s="34"/>
      <c r="M110" s="34"/>
      <c r="N110" s="34"/>
      <c r="O110" s="34"/>
      <c r="P110" s="34"/>
      <c r="Q110" s="34"/>
      <c r="R110" s="34"/>
      <c r="S110" s="34"/>
    </row>
  </sheetData>
  <mergeCells count="11">
    <mergeCell ref="O4:S4"/>
    <mergeCell ref="A2:S2"/>
    <mergeCell ref="A4:A5"/>
    <mergeCell ref="B4:B5"/>
    <mergeCell ref="C4:C5"/>
    <mergeCell ref="D4:H4"/>
    <mergeCell ref="I4:J5"/>
    <mergeCell ref="K4:K5"/>
    <mergeCell ref="L4:L5"/>
    <mergeCell ref="M4:M5"/>
    <mergeCell ref="N4:N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810"/>
  <sheetViews>
    <sheetView view="pageBreakPreview" zoomScaleSheetLayoutView="100" workbookViewId="0">
      <selection activeCell="A14" sqref="A14:B14"/>
    </sheetView>
  </sheetViews>
  <sheetFormatPr defaultColWidth="9.109375" defaultRowHeight="22.8" x14ac:dyDescent="0.4"/>
  <cols>
    <col min="1" max="1" width="15.88671875" style="1" customWidth="1"/>
    <col min="2" max="2" width="45.44140625" style="1" customWidth="1"/>
    <col min="3" max="9" width="8.109375" style="17" bestFit="1" customWidth="1"/>
    <col min="10" max="10" width="13.44140625" style="15" customWidth="1"/>
    <col min="11" max="11" width="11.33203125" style="28" bestFit="1" customWidth="1"/>
    <col min="12" max="12" width="9.109375" style="1"/>
    <col min="13" max="14" width="18.6640625" style="1" bestFit="1" customWidth="1"/>
    <col min="15" max="16384" width="9.109375" style="1"/>
  </cols>
  <sheetData>
    <row r="1" spans="1:16" x14ac:dyDescent="0.4">
      <c r="K1" s="55">
        <f>MASTER!D204</f>
        <v>21198.5</v>
      </c>
      <c r="L1" s="56"/>
      <c r="M1" s="14" t="s">
        <v>9</v>
      </c>
    </row>
    <row r="2" spans="1:16" x14ac:dyDescent="0.4">
      <c r="K2" s="55" t="e">
        <f>#REF!</f>
        <v>#REF!</v>
      </c>
      <c r="L2" s="56"/>
      <c r="M2" s="14" t="s">
        <v>10</v>
      </c>
    </row>
    <row r="4" spans="1:16" x14ac:dyDescent="0.4">
      <c r="K4" s="27" t="e">
        <f>IF(K1&lt;&gt;K2,"ERRO SOMATÓRIO","OK")</f>
        <v>#REF!</v>
      </c>
      <c r="L4" s="13"/>
      <c r="M4" s="13"/>
      <c r="N4" s="13"/>
      <c r="O4" s="13"/>
      <c r="P4" s="13"/>
    </row>
    <row r="5" spans="1:16" x14ac:dyDescent="0.4">
      <c r="A5" s="53" t="s">
        <v>6</v>
      </c>
      <c r="B5" s="53"/>
      <c r="C5" s="53"/>
      <c r="D5" s="53"/>
      <c r="E5" s="53"/>
      <c r="F5" s="53"/>
      <c r="G5" s="53"/>
      <c r="H5" s="53"/>
      <c r="I5" s="53"/>
    </row>
    <row r="6" spans="1:16" ht="5.0999999999999996" customHeight="1" x14ac:dyDescent="0.4">
      <c r="A6" s="37"/>
      <c r="B6" s="37"/>
      <c r="C6" s="37"/>
      <c r="D6" s="37"/>
      <c r="E6" s="37"/>
      <c r="F6" s="37"/>
      <c r="G6" s="37"/>
      <c r="H6" s="37"/>
      <c r="I6" s="37"/>
    </row>
    <row r="7" spans="1:16" hidden="1" x14ac:dyDescent="0.4">
      <c r="A7" s="38" t="s">
        <v>382</v>
      </c>
      <c r="B7" s="38" t="s">
        <v>383</v>
      </c>
      <c r="G7" s="57" t="s">
        <v>384</v>
      </c>
      <c r="H7" s="57"/>
      <c r="I7" s="57"/>
    </row>
    <row r="8" spans="1:16" ht="5.0999999999999996" customHeight="1" x14ac:dyDescent="0.4">
      <c r="A8" s="37"/>
      <c r="B8" s="37"/>
      <c r="C8" s="37"/>
      <c r="D8" s="37"/>
      <c r="E8" s="37"/>
      <c r="F8" s="37"/>
      <c r="G8" s="37"/>
      <c r="H8" s="37"/>
      <c r="I8" s="37"/>
    </row>
    <row r="9" spans="1:16" s="2" customFormat="1" ht="30" customHeight="1" x14ac:dyDescent="0.25">
      <c r="A9" s="39" t="s">
        <v>7</v>
      </c>
      <c r="B9" s="54" t="str">
        <f>MASTER!B1</f>
        <v>MANUTEN€ÇO ELTRICA COMPLEMENTAR DO BLOCO 02</v>
      </c>
      <c r="C9" s="54"/>
      <c r="D9" s="54"/>
      <c r="E9" s="54"/>
      <c r="F9" s="54"/>
      <c r="G9" s="54"/>
      <c r="H9" s="54"/>
      <c r="I9" s="54"/>
      <c r="J9" s="16"/>
      <c r="K9" s="29"/>
    </row>
    <row r="10" spans="1:16" ht="7.5" customHeight="1" x14ac:dyDescent="0.4"/>
    <row r="11" spans="1:16" s="2" customFormat="1" x14ac:dyDescent="0.25">
      <c r="A11" s="39" t="s">
        <v>8</v>
      </c>
      <c r="B11" s="54" t="str">
        <f>MASTER!B2</f>
        <v>COMPLEMENTO</v>
      </c>
      <c r="C11" s="54"/>
      <c r="D11" s="54"/>
      <c r="E11" s="54"/>
      <c r="F11" s="54"/>
      <c r="G11" s="54"/>
      <c r="H11" s="54"/>
      <c r="I11" s="54"/>
      <c r="J11" s="15"/>
      <c r="K11" s="29"/>
    </row>
    <row r="12" spans="1:16" ht="15" customHeight="1" x14ac:dyDescent="0.4">
      <c r="A12" s="21"/>
      <c r="B12" s="21"/>
      <c r="C12" s="25"/>
      <c r="D12" s="25"/>
      <c r="E12" s="25"/>
      <c r="F12" s="25"/>
      <c r="G12" s="25"/>
      <c r="H12" s="25"/>
      <c r="I12" s="25"/>
    </row>
    <row r="13" spans="1:16" ht="23.25" customHeight="1" x14ac:dyDescent="0.4">
      <c r="A13" s="4" t="str">
        <f>MASTER!$A3</f>
        <v>01-22-01-020 C H</v>
      </c>
      <c r="B13" s="43" t="str">
        <f>MASTER!$B3</f>
        <v>REMO€ÇO DE FORRO DE GESSO, DE FORMA MANUAL, SEM REAPROVEITAMENTO. AF_09/2023 CS: 97641</v>
      </c>
      <c r="C13" s="44"/>
      <c r="D13" s="44"/>
      <c r="E13" s="44"/>
      <c r="F13" s="44"/>
      <c r="G13" s="44"/>
      <c r="H13" s="44"/>
      <c r="I13" s="45"/>
      <c r="J13" s="15">
        <f>MASTER!D3</f>
        <v>220</v>
      </c>
      <c r="K13" s="27" t="str">
        <f>IF(I18&lt;&gt;J13, "ERRO", "OK")</f>
        <v>OK</v>
      </c>
    </row>
    <row r="14" spans="1:16" s="2" customFormat="1" ht="14.25" customHeight="1" x14ac:dyDescent="0.25">
      <c r="A14" s="46" t="s">
        <v>1</v>
      </c>
      <c r="B14" s="46"/>
      <c r="C14" s="18" t="s">
        <v>4</v>
      </c>
      <c r="D14" s="18" t="s">
        <v>2</v>
      </c>
      <c r="E14" s="18" t="s">
        <v>3</v>
      </c>
      <c r="F14" s="18" t="s">
        <v>5</v>
      </c>
      <c r="G14" s="18" t="s">
        <v>11</v>
      </c>
      <c r="H14" s="18" t="s">
        <v>12</v>
      </c>
      <c r="I14" s="18" t="s">
        <v>0</v>
      </c>
      <c r="J14" s="15"/>
      <c r="K14" s="27"/>
    </row>
    <row r="15" spans="1:16" s="2" customFormat="1" ht="14.25" customHeight="1" x14ac:dyDescent="0.25">
      <c r="A15" s="41"/>
      <c r="B15" s="42"/>
      <c r="C15" s="26"/>
      <c r="D15" s="26"/>
      <c r="E15" s="26"/>
      <c r="F15" s="26">
        <v>220</v>
      </c>
      <c r="G15" s="26"/>
      <c r="H15" s="26"/>
      <c r="I15" s="26">
        <f>ROUND(PRODUCT(C15:H15),2)</f>
        <v>220</v>
      </c>
      <c r="J15" s="15"/>
      <c r="K15" s="27"/>
    </row>
    <row r="16" spans="1:16" s="2" customFormat="1" ht="14.25" hidden="1" customHeight="1" x14ac:dyDescent="0.25">
      <c r="A16" s="41"/>
      <c r="B16" s="42"/>
      <c r="C16" s="26"/>
      <c r="D16" s="26"/>
      <c r="E16" s="26"/>
      <c r="F16" s="26"/>
      <c r="G16" s="26"/>
      <c r="H16" s="26"/>
      <c r="I16" s="26">
        <f>ROUND(PRODUCT(C16:H16),2)</f>
        <v>0</v>
      </c>
      <c r="J16" s="15"/>
      <c r="K16" s="27"/>
    </row>
    <row r="17" spans="1:13" ht="15" hidden="1" customHeight="1" x14ac:dyDescent="0.4">
      <c r="A17" s="41"/>
      <c r="B17" s="42"/>
      <c r="C17" s="26"/>
      <c r="D17" s="26"/>
      <c r="E17" s="26"/>
      <c r="F17" s="26"/>
      <c r="G17" s="26"/>
      <c r="H17" s="26"/>
      <c r="I17" s="26">
        <f>ROUND(PRODUCT(C17:H17),2)</f>
        <v>0</v>
      </c>
      <c r="K17" s="27"/>
    </row>
    <row r="18" spans="1:13" ht="15" customHeight="1" x14ac:dyDescent="0.4">
      <c r="A18" s="3"/>
      <c r="B18" s="3"/>
      <c r="C18" s="20"/>
      <c r="D18" s="20"/>
      <c r="E18" s="20"/>
      <c r="F18" s="20"/>
      <c r="G18" s="20"/>
      <c r="H18" s="19" t="str">
        <f>MASTER!$C3</f>
        <v>M2</v>
      </c>
      <c r="I18" s="19">
        <f>ROUND(SUM(I15:I17),2)</f>
        <v>220</v>
      </c>
      <c r="J18" s="16"/>
      <c r="K18" s="27"/>
      <c r="L18" s="13"/>
      <c r="M18" s="13"/>
    </row>
    <row r="19" spans="1:13" ht="15" customHeight="1" x14ac:dyDescent="0.4">
      <c r="A19" s="21"/>
      <c r="B19" s="21"/>
      <c r="C19" s="25"/>
      <c r="D19" s="25"/>
      <c r="E19" s="25"/>
      <c r="F19" s="25"/>
      <c r="G19" s="25"/>
      <c r="H19" s="25"/>
      <c r="I19" s="25"/>
      <c r="K19" s="27"/>
      <c r="L19" s="13"/>
      <c r="M19" s="13"/>
    </row>
    <row r="20" spans="1:13" ht="23.25" customHeight="1" x14ac:dyDescent="0.4">
      <c r="A20" s="4" t="str">
        <f>MASTER!$A4</f>
        <v>01-19-11-002 C H</v>
      </c>
      <c r="B20" s="43" t="str">
        <f>MASTER!$B4</f>
        <v>RODAP EM MARMORITE, ALTURA 10CM. AF_09/2020 CS: 101741</v>
      </c>
      <c r="C20" s="44"/>
      <c r="D20" s="44"/>
      <c r="E20" s="44"/>
      <c r="F20" s="44"/>
      <c r="G20" s="44"/>
      <c r="H20" s="44"/>
      <c r="I20" s="45"/>
      <c r="J20" s="15">
        <f>MASTER!$D4</f>
        <v>60</v>
      </c>
      <c r="K20" s="27" t="str">
        <f>IF(I25&lt;&gt;J20, "ERRO", "OK")</f>
        <v>OK</v>
      </c>
      <c r="L20" s="13"/>
      <c r="M20" s="13"/>
    </row>
    <row r="21" spans="1:13" s="2" customFormat="1" ht="14.25" customHeight="1" x14ac:dyDescent="0.25">
      <c r="A21" s="46" t="s">
        <v>1</v>
      </c>
      <c r="B21" s="46"/>
      <c r="C21" s="18" t="s">
        <v>4</v>
      </c>
      <c r="D21" s="18" t="s">
        <v>2</v>
      </c>
      <c r="E21" s="18" t="s">
        <v>3</v>
      </c>
      <c r="F21" s="18" t="s">
        <v>5</v>
      </c>
      <c r="G21" s="18" t="s">
        <v>11</v>
      </c>
      <c r="H21" s="18" t="s">
        <v>12</v>
      </c>
      <c r="I21" s="18" t="s">
        <v>0</v>
      </c>
      <c r="J21" s="15"/>
      <c r="K21" s="27"/>
    </row>
    <row r="22" spans="1:13" s="2" customFormat="1" ht="14.25" customHeight="1" x14ac:dyDescent="0.25">
      <c r="A22" s="41"/>
      <c r="B22" s="42"/>
      <c r="C22" s="26"/>
      <c r="D22" s="26"/>
      <c r="E22" s="26"/>
      <c r="F22" s="26">
        <v>60</v>
      </c>
      <c r="G22" s="26"/>
      <c r="H22" s="26"/>
      <c r="I22" s="26">
        <f>ROUND(PRODUCT(C22:H22),2)</f>
        <v>60</v>
      </c>
      <c r="J22" s="15"/>
      <c r="K22" s="27"/>
    </row>
    <row r="23" spans="1:13" s="2" customFormat="1" ht="14.25" hidden="1" customHeight="1" x14ac:dyDescent="0.4">
      <c r="A23" s="41"/>
      <c r="B23" s="42"/>
      <c r="C23" s="26"/>
      <c r="D23" s="26"/>
      <c r="E23" s="26"/>
      <c r="F23" s="26"/>
      <c r="G23" s="26"/>
      <c r="H23" s="26"/>
      <c r="I23" s="26">
        <f>ROUND(PRODUCT(C23:H23),2)</f>
        <v>0</v>
      </c>
      <c r="J23" s="15"/>
      <c r="K23" s="28"/>
    </row>
    <row r="24" spans="1:13" ht="15" hidden="1" customHeight="1" x14ac:dyDescent="0.4">
      <c r="A24" s="41"/>
      <c r="B24" s="42"/>
      <c r="C24" s="26"/>
      <c r="D24" s="26"/>
      <c r="E24" s="26"/>
      <c r="F24" s="26"/>
      <c r="G24" s="26"/>
      <c r="H24" s="26"/>
      <c r="I24" s="26">
        <f>ROUND(PRODUCT(C24:H24),2)</f>
        <v>0</v>
      </c>
      <c r="L24" s="13"/>
      <c r="M24" s="13"/>
    </row>
    <row r="25" spans="1:13" ht="15" customHeight="1" x14ac:dyDescent="0.4">
      <c r="A25" s="3"/>
      <c r="B25" s="3"/>
      <c r="C25" s="20"/>
      <c r="D25" s="20"/>
      <c r="E25" s="20"/>
      <c r="F25" s="20"/>
      <c r="G25" s="20"/>
      <c r="H25" s="19" t="str">
        <f>MASTER!$C4</f>
        <v>M</v>
      </c>
      <c r="I25" s="19">
        <f>ROUND(SUM(I22:I24),2)</f>
        <v>60</v>
      </c>
      <c r="J25" s="16"/>
      <c r="K25" s="29"/>
      <c r="L25" s="13"/>
      <c r="M25" s="13"/>
    </row>
    <row r="26" spans="1:13" ht="15" customHeight="1" x14ac:dyDescent="0.4">
      <c r="A26" s="21"/>
      <c r="B26" s="21"/>
      <c r="C26" s="25"/>
      <c r="D26" s="25"/>
      <c r="E26" s="25"/>
      <c r="F26" s="25"/>
      <c r="G26" s="25"/>
      <c r="H26" s="25"/>
      <c r="I26" s="25"/>
    </row>
    <row r="27" spans="1:13" ht="23.25" customHeight="1" x14ac:dyDescent="0.4">
      <c r="A27" s="40" t="str">
        <f>MASTER!$A5</f>
        <v>001-002</v>
      </c>
      <c r="B27" s="47" t="str">
        <f>MASTER!$B5</f>
        <v>FORRO</v>
      </c>
      <c r="C27" s="48"/>
      <c r="D27" s="48"/>
      <c r="E27" s="48"/>
      <c r="F27" s="48"/>
      <c r="G27" s="48"/>
      <c r="H27" s="48"/>
      <c r="I27" s="49"/>
      <c r="J27" s="15">
        <f>MASTER!$D5</f>
        <v>0</v>
      </c>
      <c r="K27" s="27" t="str">
        <f>IF(I32&lt;&gt;J27, "ERRO", "OK")</f>
        <v>OK</v>
      </c>
    </row>
    <row r="28" spans="1:13" s="2" customFormat="1" ht="14.25" hidden="1" customHeight="1" x14ac:dyDescent="0.25">
      <c r="A28" s="46" t="s">
        <v>1</v>
      </c>
      <c r="B28" s="46"/>
      <c r="C28" s="18" t="s">
        <v>4</v>
      </c>
      <c r="D28" s="18" t="s">
        <v>2</v>
      </c>
      <c r="E28" s="18" t="s">
        <v>3</v>
      </c>
      <c r="F28" s="18" t="s">
        <v>5</v>
      </c>
      <c r="G28" s="18" t="s">
        <v>11</v>
      </c>
      <c r="H28" s="18" t="s">
        <v>12</v>
      </c>
      <c r="I28" s="18" t="s">
        <v>0</v>
      </c>
      <c r="J28" s="15"/>
      <c r="K28" s="27"/>
    </row>
    <row r="29" spans="1:13" s="2" customFormat="1" ht="14.25" hidden="1" customHeight="1" x14ac:dyDescent="0.25">
      <c r="A29" s="41"/>
      <c r="B29" s="50"/>
      <c r="C29" s="26"/>
      <c r="D29" s="26"/>
      <c r="E29" s="26"/>
      <c r="F29" s="26"/>
      <c r="G29" s="26"/>
      <c r="H29" s="26"/>
      <c r="I29" s="26">
        <f>ROUND(PRODUCT(C29:H29),2)</f>
        <v>0</v>
      </c>
      <c r="J29" s="15"/>
      <c r="K29" s="27"/>
    </row>
    <row r="30" spans="1:13" s="2" customFormat="1" ht="14.25" hidden="1" customHeight="1" x14ac:dyDescent="0.25">
      <c r="A30" s="41"/>
      <c r="B30" s="50"/>
      <c r="C30" s="26"/>
      <c r="D30" s="26"/>
      <c r="E30" s="26"/>
      <c r="F30" s="26"/>
      <c r="G30" s="26"/>
      <c r="H30" s="26"/>
      <c r="I30" s="26">
        <f>ROUND(PRODUCT(C30:H30),2)</f>
        <v>0</v>
      </c>
      <c r="J30" s="15"/>
      <c r="K30" s="27"/>
    </row>
    <row r="31" spans="1:13" ht="15" hidden="1" customHeight="1" x14ac:dyDescent="0.4">
      <c r="A31" s="41"/>
      <c r="B31" s="50"/>
      <c r="C31" s="26"/>
      <c r="D31" s="26"/>
      <c r="E31" s="26"/>
      <c r="F31" s="26"/>
      <c r="G31" s="26"/>
      <c r="H31" s="26"/>
      <c r="I31" s="26">
        <f>ROUND(PRODUCT(C31:H31),2)</f>
        <v>0</v>
      </c>
      <c r="K31" s="27"/>
    </row>
    <row r="32" spans="1:13" ht="15" hidden="1" customHeight="1" x14ac:dyDescent="0.4">
      <c r="A32" s="3"/>
      <c r="B32" s="3"/>
      <c r="C32" s="20"/>
      <c r="D32" s="20"/>
      <c r="E32" s="20"/>
      <c r="F32" s="20"/>
      <c r="G32" s="20"/>
      <c r="H32" s="19">
        <f>MASTER!$C5</f>
        <v>0</v>
      </c>
      <c r="I32" s="19">
        <f>ROUND(SUM(I29:I31),2)</f>
        <v>0</v>
      </c>
      <c r="J32" s="16"/>
      <c r="K32" s="27"/>
      <c r="L32" s="13"/>
      <c r="M32" s="13"/>
    </row>
    <row r="33" spans="1:13" ht="15" hidden="1" customHeight="1" x14ac:dyDescent="0.4">
      <c r="A33" s="21"/>
      <c r="B33" s="21"/>
      <c r="C33" s="25"/>
      <c r="D33" s="25"/>
      <c r="E33" s="25"/>
      <c r="F33" s="25"/>
      <c r="G33" s="25"/>
      <c r="H33" s="25"/>
      <c r="I33" s="25"/>
      <c r="K33" s="27"/>
      <c r="L33" s="13"/>
      <c r="M33" s="13"/>
    </row>
    <row r="34" spans="1:13" ht="27" customHeight="1" x14ac:dyDescent="0.4">
      <c r="A34" s="4" t="str">
        <f>MASTER!$A6</f>
        <v>63-19-01-303 O H</v>
      </c>
      <c r="B34" s="43" t="str">
        <f>MASTER!$B6</f>
        <v>FORRO ACéSTICO DE FIBRA MINERAL REMOVÖVEL, MODULA€ÇO 625 X 1250MM,APOIADO EM PERFIS METµLICOS TIPO T SUSPENSOS POR PERFIS RÖGIDOS,E=15MM</v>
      </c>
      <c r="C34" s="44"/>
      <c r="D34" s="44"/>
      <c r="E34" s="44"/>
      <c r="F34" s="44"/>
      <c r="G34" s="44"/>
      <c r="H34" s="44"/>
      <c r="I34" s="45"/>
      <c r="J34" s="15">
        <f>MASTER!$D6</f>
        <v>180</v>
      </c>
      <c r="K34" s="27" t="str">
        <f>IF(I39&lt;&gt;J34, "ERRO", "OK")</f>
        <v>OK</v>
      </c>
      <c r="L34" s="13"/>
      <c r="M34" s="13"/>
    </row>
    <row r="35" spans="1:13" s="2" customFormat="1" ht="14.25" customHeight="1" x14ac:dyDescent="0.25">
      <c r="A35" s="46" t="s">
        <v>1</v>
      </c>
      <c r="B35" s="46"/>
      <c r="C35" s="18" t="s">
        <v>4</v>
      </c>
      <c r="D35" s="18" t="s">
        <v>2</v>
      </c>
      <c r="E35" s="18" t="s">
        <v>3</v>
      </c>
      <c r="F35" s="18" t="s">
        <v>5</v>
      </c>
      <c r="G35" s="18" t="s">
        <v>11</v>
      </c>
      <c r="H35" s="18" t="s">
        <v>12</v>
      </c>
      <c r="I35" s="18" t="s">
        <v>0</v>
      </c>
      <c r="J35" s="15"/>
      <c r="K35" s="27"/>
      <c r="L35" s="13"/>
      <c r="M35" s="13"/>
    </row>
    <row r="36" spans="1:13" s="2" customFormat="1" ht="14.25" customHeight="1" x14ac:dyDescent="0.25">
      <c r="A36" s="41"/>
      <c r="B36" s="42"/>
      <c r="C36" s="26"/>
      <c r="D36" s="26"/>
      <c r="E36" s="26"/>
      <c r="F36" s="26">
        <v>180</v>
      </c>
      <c r="G36" s="26"/>
      <c r="H36" s="26"/>
      <c r="I36" s="26">
        <f>ROUND(PRODUCT(C36:H36),2)</f>
        <v>180</v>
      </c>
      <c r="J36" s="15"/>
      <c r="K36" s="27"/>
      <c r="L36" s="13"/>
      <c r="M36" s="13"/>
    </row>
    <row r="37" spans="1:13" s="2" customFormat="1" ht="14.25" hidden="1" customHeight="1" x14ac:dyDescent="0.4">
      <c r="A37" s="41"/>
      <c r="B37" s="42"/>
      <c r="C37" s="26"/>
      <c r="D37" s="26"/>
      <c r="E37" s="26"/>
      <c r="F37" s="26"/>
      <c r="G37" s="26"/>
      <c r="H37" s="26"/>
      <c r="I37" s="26">
        <f>ROUND(PRODUCT(C37:H37),2)</f>
        <v>0</v>
      </c>
      <c r="J37" s="15"/>
      <c r="K37" s="28"/>
      <c r="L37" s="13"/>
      <c r="M37" s="13"/>
    </row>
    <row r="38" spans="1:13" ht="15" hidden="1" customHeight="1" x14ac:dyDescent="0.4">
      <c r="A38" s="41"/>
      <c r="B38" s="42"/>
      <c r="C38" s="26"/>
      <c r="D38" s="26"/>
      <c r="E38" s="26"/>
      <c r="F38" s="26"/>
      <c r="G38" s="26"/>
      <c r="H38" s="26"/>
      <c r="I38" s="26">
        <f>ROUND(PRODUCT(C38:H38),2)</f>
        <v>0</v>
      </c>
      <c r="L38" s="13"/>
      <c r="M38" s="13"/>
    </row>
    <row r="39" spans="1:13" ht="15" customHeight="1" x14ac:dyDescent="0.4">
      <c r="A39" s="3"/>
      <c r="B39" s="3"/>
      <c r="C39" s="20"/>
      <c r="D39" s="20"/>
      <c r="E39" s="20"/>
      <c r="F39" s="20"/>
      <c r="G39" s="20"/>
      <c r="H39" s="19" t="str">
        <f>MASTER!$C6</f>
        <v>M2</v>
      </c>
      <c r="I39" s="19">
        <f>ROUND(SUM(I36:I38),2)</f>
        <v>180</v>
      </c>
      <c r="J39" s="16"/>
      <c r="K39" s="29"/>
      <c r="L39" s="13"/>
      <c r="M39" s="13"/>
    </row>
    <row r="40" spans="1:13" ht="15" customHeight="1" x14ac:dyDescent="0.4">
      <c r="A40" s="21"/>
      <c r="B40" s="21"/>
      <c r="C40" s="25"/>
      <c r="D40" s="25"/>
      <c r="E40" s="25"/>
      <c r="F40" s="25"/>
      <c r="G40" s="25"/>
      <c r="H40" s="25"/>
      <c r="I40" s="25"/>
    </row>
    <row r="41" spans="1:13" ht="27" customHeight="1" x14ac:dyDescent="0.4">
      <c r="A41" s="4" t="str">
        <f>MASTER!$A7</f>
        <v>64-23-74-016 O H</v>
      </c>
      <c r="B41" s="43" t="str">
        <f>MASTER!$B7</f>
        <v>RODAP EM POLIESTIRENO BRANCO 2,40M, H=10CM SANTA LUZIA OU EQUIVALENTE TCNICO - FORNECIMENTO E INSTALA€ÇO</v>
      </c>
      <c r="C41" s="44"/>
      <c r="D41" s="44"/>
      <c r="E41" s="44"/>
      <c r="F41" s="44"/>
      <c r="G41" s="44"/>
      <c r="H41" s="44"/>
      <c r="I41" s="45"/>
      <c r="J41" s="15">
        <f>MASTER!$D7</f>
        <v>60</v>
      </c>
      <c r="K41" s="27" t="str">
        <f>IF(I46&lt;&gt;J41, "ERRO", "OK")</f>
        <v>OK</v>
      </c>
    </row>
    <row r="42" spans="1:13" s="2" customFormat="1" ht="14.25" customHeight="1" x14ac:dyDescent="0.25">
      <c r="A42" s="46" t="s">
        <v>1</v>
      </c>
      <c r="B42" s="46"/>
      <c r="C42" s="18" t="s">
        <v>4</v>
      </c>
      <c r="D42" s="18" t="s">
        <v>2</v>
      </c>
      <c r="E42" s="18" t="s">
        <v>3</v>
      </c>
      <c r="F42" s="18" t="s">
        <v>5</v>
      </c>
      <c r="G42" s="18" t="s">
        <v>11</v>
      </c>
      <c r="H42" s="18" t="s">
        <v>12</v>
      </c>
      <c r="I42" s="18" t="s">
        <v>0</v>
      </c>
      <c r="J42" s="15"/>
      <c r="K42" s="27"/>
    </row>
    <row r="43" spans="1:13" s="2" customFormat="1" ht="14.25" customHeight="1" x14ac:dyDescent="0.25">
      <c r="A43" s="41"/>
      <c r="B43" s="42"/>
      <c r="C43" s="26"/>
      <c r="D43" s="26"/>
      <c r="E43" s="26"/>
      <c r="F43" s="26">
        <v>60</v>
      </c>
      <c r="G43" s="26"/>
      <c r="H43" s="26"/>
      <c r="I43" s="26">
        <f>ROUND(PRODUCT(C43:H43),2)</f>
        <v>60</v>
      </c>
      <c r="J43" s="15"/>
      <c r="K43" s="27"/>
    </row>
    <row r="44" spans="1:13" s="2" customFormat="1" ht="14.25" hidden="1" customHeight="1" x14ac:dyDescent="0.25">
      <c r="A44" s="41"/>
      <c r="B44" s="42"/>
      <c r="C44" s="26"/>
      <c r="D44" s="26"/>
      <c r="E44" s="26"/>
      <c r="F44" s="26"/>
      <c r="G44" s="26"/>
      <c r="H44" s="26"/>
      <c r="I44" s="26">
        <f>ROUND(PRODUCT(C44:H44),2)</f>
        <v>0</v>
      </c>
      <c r="J44" s="15"/>
      <c r="K44" s="27"/>
    </row>
    <row r="45" spans="1:13" ht="15" hidden="1" customHeight="1" x14ac:dyDescent="0.4">
      <c r="A45" s="41"/>
      <c r="B45" s="42"/>
      <c r="C45" s="26"/>
      <c r="D45" s="26"/>
      <c r="E45" s="26"/>
      <c r="F45" s="26"/>
      <c r="G45" s="26"/>
      <c r="H45" s="26"/>
      <c r="I45" s="26">
        <f>ROUND(PRODUCT(C45:H45),2)</f>
        <v>0</v>
      </c>
      <c r="K45" s="27"/>
    </row>
    <row r="46" spans="1:13" ht="15" customHeight="1" x14ac:dyDescent="0.4">
      <c r="A46" s="3"/>
      <c r="B46" s="3"/>
      <c r="C46" s="20"/>
      <c r="D46" s="20"/>
      <c r="E46" s="20"/>
      <c r="F46" s="20"/>
      <c r="G46" s="20"/>
      <c r="H46" s="19" t="str">
        <f>MASTER!$C7</f>
        <v>M</v>
      </c>
      <c r="I46" s="19">
        <f>ROUND(SUM(I43:I45),2)</f>
        <v>60</v>
      </c>
      <c r="J46" s="16"/>
      <c r="K46" s="27"/>
      <c r="L46" s="13"/>
      <c r="M46" s="13"/>
    </row>
    <row r="47" spans="1:13" ht="15" customHeight="1" x14ac:dyDescent="0.4">
      <c r="A47" s="21"/>
      <c r="B47" s="21"/>
      <c r="C47" s="25"/>
      <c r="D47" s="25"/>
      <c r="E47" s="25"/>
      <c r="F47" s="25"/>
      <c r="G47" s="25"/>
      <c r="H47" s="25"/>
      <c r="I47" s="25"/>
      <c r="K47" s="27"/>
      <c r="L47" s="13"/>
      <c r="M47" s="13"/>
    </row>
    <row r="48" spans="1:13" ht="23.25" customHeight="1" x14ac:dyDescent="0.4">
      <c r="A48" s="40" t="str">
        <f>MASTER!$A8</f>
        <v>001-003</v>
      </c>
      <c r="B48" s="47" t="str">
        <f>MASTER!$B8</f>
        <v>ACABAMENTO</v>
      </c>
      <c r="C48" s="48"/>
      <c r="D48" s="48"/>
      <c r="E48" s="48"/>
      <c r="F48" s="48"/>
      <c r="G48" s="48"/>
      <c r="H48" s="48"/>
      <c r="I48" s="49"/>
      <c r="J48" s="15">
        <f>MASTER!$D8</f>
        <v>0</v>
      </c>
      <c r="K48" s="27" t="str">
        <f>IF(I53&lt;&gt;J48, "ERRO", "OK")</f>
        <v>OK</v>
      </c>
      <c r="L48" s="13"/>
      <c r="M48" s="13"/>
    </row>
    <row r="49" spans="1:13" s="2" customFormat="1" ht="14.25" hidden="1" customHeight="1" x14ac:dyDescent="0.25">
      <c r="A49" s="46" t="s">
        <v>1</v>
      </c>
      <c r="B49" s="46"/>
      <c r="C49" s="18" t="s">
        <v>4</v>
      </c>
      <c r="D49" s="18" t="s">
        <v>2</v>
      </c>
      <c r="E49" s="18" t="s">
        <v>3</v>
      </c>
      <c r="F49" s="18" t="s">
        <v>5</v>
      </c>
      <c r="G49" s="18" t="s">
        <v>11</v>
      </c>
      <c r="H49" s="18" t="s">
        <v>12</v>
      </c>
      <c r="I49" s="18" t="s">
        <v>0</v>
      </c>
      <c r="J49" s="15"/>
      <c r="K49" s="27"/>
      <c r="L49" s="13"/>
      <c r="M49" s="13"/>
    </row>
    <row r="50" spans="1:13" s="2" customFormat="1" ht="14.25" hidden="1" customHeight="1" x14ac:dyDescent="0.25">
      <c r="A50" s="41"/>
      <c r="B50" s="42"/>
      <c r="C50" s="26"/>
      <c r="D50" s="26"/>
      <c r="E50" s="26"/>
      <c r="F50" s="26"/>
      <c r="G50" s="26"/>
      <c r="H50" s="26"/>
      <c r="I50" s="26">
        <f>ROUND(PRODUCT(C50:H50),2)</f>
        <v>0</v>
      </c>
      <c r="J50" s="15"/>
      <c r="K50" s="27"/>
      <c r="L50" s="13"/>
      <c r="M50" s="13"/>
    </row>
    <row r="51" spans="1:13" s="2" customFormat="1" ht="14.25" hidden="1" customHeight="1" x14ac:dyDescent="0.4">
      <c r="A51" s="41"/>
      <c r="B51" s="42"/>
      <c r="C51" s="26"/>
      <c r="D51" s="26"/>
      <c r="E51" s="26"/>
      <c r="F51" s="26"/>
      <c r="G51" s="26"/>
      <c r="H51" s="26"/>
      <c r="I51" s="26">
        <f>ROUND(PRODUCT(C51:H51),2)</f>
        <v>0</v>
      </c>
      <c r="J51" s="15"/>
      <c r="K51" s="28"/>
      <c r="L51" s="13"/>
      <c r="M51" s="13"/>
    </row>
    <row r="52" spans="1:13" ht="15" hidden="1" customHeight="1" x14ac:dyDescent="0.4">
      <c r="A52" s="41"/>
      <c r="B52" s="42"/>
      <c r="C52" s="26"/>
      <c r="D52" s="26"/>
      <c r="E52" s="26"/>
      <c r="F52" s="26"/>
      <c r="G52" s="26"/>
      <c r="H52" s="26"/>
      <c r="I52" s="26">
        <f>ROUND(PRODUCT(C52:H52),2)</f>
        <v>0</v>
      </c>
      <c r="L52" s="13"/>
      <c r="M52" s="13"/>
    </row>
    <row r="53" spans="1:13" ht="15" hidden="1" customHeight="1" x14ac:dyDescent="0.4">
      <c r="A53" s="3"/>
      <c r="B53" s="3"/>
      <c r="C53" s="20"/>
      <c r="D53" s="20"/>
      <c r="E53" s="20"/>
      <c r="F53" s="20"/>
      <c r="G53" s="20"/>
      <c r="H53" s="19">
        <f>MASTER!$C8</f>
        <v>0</v>
      </c>
      <c r="I53" s="19">
        <f>ROUND(SUM(I50:I52),2)</f>
        <v>0</v>
      </c>
      <c r="J53" s="16"/>
      <c r="K53" s="29"/>
      <c r="L53" s="13"/>
      <c r="M53" s="13"/>
    </row>
    <row r="54" spans="1:13" ht="15" hidden="1" customHeight="1" x14ac:dyDescent="0.4">
      <c r="A54" s="21"/>
      <c r="B54" s="21"/>
      <c r="C54" s="25"/>
      <c r="D54" s="25"/>
      <c r="E54" s="25"/>
      <c r="F54" s="25"/>
      <c r="G54" s="25"/>
      <c r="H54" s="25"/>
      <c r="I54" s="25"/>
    </row>
    <row r="55" spans="1:13" ht="23.25" customHeight="1" x14ac:dyDescent="0.4">
      <c r="A55" s="4" t="str">
        <f>MASTER!$A9</f>
        <v>62-23-65-080 O H</v>
      </c>
      <c r="B55" s="43" t="str">
        <f>MASTER!$B9</f>
        <v>REGULARIZA€ÇO DE BASE PARA PISOS C/ ARGAMASSA DE ALTA RESISTÒNCIA, TRA€O 1:3</v>
      </c>
      <c r="C55" s="44"/>
      <c r="D55" s="44"/>
      <c r="E55" s="44"/>
      <c r="F55" s="44"/>
      <c r="G55" s="44"/>
      <c r="H55" s="44"/>
      <c r="I55" s="45"/>
      <c r="J55" s="15">
        <f>MASTER!$D9</f>
        <v>150</v>
      </c>
      <c r="K55" s="27" t="str">
        <f>IF(I60&lt;&gt;J55, "ERRO", "OK")</f>
        <v>OK</v>
      </c>
    </row>
    <row r="56" spans="1:13" s="2" customFormat="1" ht="14.25" customHeight="1" x14ac:dyDescent="0.25">
      <c r="A56" s="51" t="s">
        <v>1</v>
      </c>
      <c r="B56" s="52"/>
      <c r="C56" s="18" t="s">
        <v>4</v>
      </c>
      <c r="D56" s="18" t="s">
        <v>2</v>
      </c>
      <c r="E56" s="18" t="s">
        <v>3</v>
      </c>
      <c r="F56" s="18" t="s">
        <v>5</v>
      </c>
      <c r="G56" s="18" t="s">
        <v>11</v>
      </c>
      <c r="H56" s="18" t="s">
        <v>12</v>
      </c>
      <c r="I56" s="18" t="s">
        <v>0</v>
      </c>
      <c r="J56" s="15"/>
      <c r="K56" s="27"/>
    </row>
    <row r="57" spans="1:13" s="2" customFormat="1" ht="14.25" customHeight="1" x14ac:dyDescent="0.25">
      <c r="A57" s="41"/>
      <c r="B57" s="50"/>
      <c r="C57" s="26"/>
      <c r="D57" s="26"/>
      <c r="E57" s="26"/>
      <c r="F57" s="26">
        <v>150</v>
      </c>
      <c r="G57" s="26"/>
      <c r="H57" s="26"/>
      <c r="I57" s="26">
        <f>ROUND(PRODUCT(C57:H57),2)</f>
        <v>150</v>
      </c>
      <c r="J57" s="15"/>
      <c r="K57" s="27"/>
    </row>
    <row r="58" spans="1:13" s="2" customFormat="1" ht="14.25" hidden="1" customHeight="1" x14ac:dyDescent="0.25">
      <c r="A58" s="41"/>
      <c r="B58" s="50"/>
      <c r="C58" s="26"/>
      <c r="D58" s="26"/>
      <c r="E58" s="26"/>
      <c r="F58" s="26"/>
      <c r="G58" s="26"/>
      <c r="H58" s="26"/>
      <c r="I58" s="26">
        <f>ROUND(PRODUCT(C58:H58),2)</f>
        <v>0</v>
      </c>
      <c r="J58" s="15"/>
      <c r="K58" s="27"/>
    </row>
    <row r="59" spans="1:13" ht="15" hidden="1" customHeight="1" x14ac:dyDescent="0.4">
      <c r="A59" s="41"/>
      <c r="B59" s="50"/>
      <c r="C59" s="26"/>
      <c r="D59" s="26"/>
      <c r="E59" s="26"/>
      <c r="F59" s="26"/>
      <c r="G59" s="26"/>
      <c r="H59" s="26"/>
      <c r="I59" s="26">
        <f>ROUND(PRODUCT(C59:H59),2)</f>
        <v>0</v>
      </c>
      <c r="K59" s="27"/>
    </row>
    <row r="60" spans="1:13" ht="15" customHeight="1" x14ac:dyDescent="0.4">
      <c r="A60" s="3"/>
      <c r="B60" s="3"/>
      <c r="C60" s="20"/>
      <c r="D60" s="20"/>
      <c r="E60" s="20"/>
      <c r="F60" s="20"/>
      <c r="G60" s="20"/>
      <c r="H60" s="19" t="str">
        <f>MASTER!$C9</f>
        <v>M2</v>
      </c>
      <c r="I60" s="19">
        <f>ROUND(SUM(I57:I59),2)</f>
        <v>150</v>
      </c>
      <c r="J60" s="16"/>
      <c r="K60" s="27"/>
      <c r="L60" s="13"/>
      <c r="M60" s="13"/>
    </row>
    <row r="61" spans="1:13" ht="15" customHeight="1" x14ac:dyDescent="0.4">
      <c r="A61" s="22"/>
      <c r="B61" s="22"/>
      <c r="C61" s="23"/>
      <c r="D61" s="23"/>
      <c r="E61" s="23"/>
      <c r="F61" s="23"/>
      <c r="G61" s="23"/>
      <c r="H61" s="24"/>
      <c r="I61" s="24"/>
      <c r="J61" s="16"/>
      <c r="K61" s="27"/>
      <c r="L61" s="13"/>
      <c r="M61" s="13"/>
    </row>
    <row r="62" spans="1:13" ht="27" customHeight="1" x14ac:dyDescent="0.4">
      <c r="A62" s="4" t="str">
        <f>MASTER!$A10</f>
        <v>01-19-03-008 C H</v>
      </c>
      <c r="B62" s="43" t="str">
        <f>MASTER!$B10</f>
        <v>REVESTIMENTO CER¶MICO PARA PISO COM PLACAS TIPO ESMALTADA DE DIMENSåES 60X60 CMAPLICADA EM AMBIENTES DE µREA ENTRE 5 M2 E 10 M2. AF_02/2023_PE CS: 87256</v>
      </c>
      <c r="C62" s="44"/>
      <c r="D62" s="44"/>
      <c r="E62" s="44"/>
      <c r="F62" s="44"/>
      <c r="G62" s="44"/>
      <c r="H62" s="44"/>
      <c r="I62" s="45"/>
      <c r="J62" s="15">
        <f>MASTER!$D10</f>
        <v>150</v>
      </c>
      <c r="K62" s="27" t="str">
        <f>IF(I67&lt;&gt;J62, "ERRO", "OK")</f>
        <v>OK</v>
      </c>
      <c r="L62" s="13"/>
      <c r="M62" s="13"/>
    </row>
    <row r="63" spans="1:13" s="2" customFormat="1" ht="14.25" customHeight="1" x14ac:dyDescent="0.25">
      <c r="A63" s="46" t="s">
        <v>1</v>
      </c>
      <c r="B63" s="46"/>
      <c r="C63" s="18" t="s">
        <v>4</v>
      </c>
      <c r="D63" s="18" t="s">
        <v>2</v>
      </c>
      <c r="E63" s="18" t="s">
        <v>3</v>
      </c>
      <c r="F63" s="18" t="s">
        <v>5</v>
      </c>
      <c r="G63" s="18" t="s">
        <v>11</v>
      </c>
      <c r="H63" s="18" t="s">
        <v>12</v>
      </c>
      <c r="I63" s="18" t="s">
        <v>0</v>
      </c>
      <c r="J63" s="15"/>
      <c r="K63" s="27"/>
      <c r="L63" s="13"/>
      <c r="M63" s="13"/>
    </row>
    <row r="64" spans="1:13" s="2" customFormat="1" ht="14.25" customHeight="1" x14ac:dyDescent="0.25">
      <c r="A64" s="41"/>
      <c r="B64" s="42"/>
      <c r="C64" s="26"/>
      <c r="D64" s="26"/>
      <c r="E64" s="26"/>
      <c r="F64" s="26">
        <v>150</v>
      </c>
      <c r="G64" s="26"/>
      <c r="H64" s="26"/>
      <c r="I64" s="26">
        <f>ROUND(PRODUCT(C64:H64),2)</f>
        <v>150</v>
      </c>
      <c r="J64" s="15"/>
      <c r="K64" s="27"/>
      <c r="L64" s="13"/>
      <c r="M64" s="13"/>
    </row>
    <row r="65" spans="1:13" s="2" customFormat="1" ht="14.25" hidden="1" customHeight="1" x14ac:dyDescent="0.4">
      <c r="A65" s="41"/>
      <c r="B65" s="42"/>
      <c r="C65" s="26"/>
      <c r="D65" s="26"/>
      <c r="E65" s="26"/>
      <c r="F65" s="26"/>
      <c r="G65" s="26"/>
      <c r="H65" s="26"/>
      <c r="I65" s="26">
        <f>ROUND(PRODUCT(C65:H65),2)</f>
        <v>0</v>
      </c>
      <c r="J65" s="15"/>
      <c r="K65" s="28"/>
      <c r="L65" s="13"/>
      <c r="M65" s="13"/>
    </row>
    <row r="66" spans="1:13" ht="15" hidden="1" customHeight="1" x14ac:dyDescent="0.4">
      <c r="A66" s="41"/>
      <c r="B66" s="42"/>
      <c r="C66" s="26"/>
      <c r="D66" s="26"/>
      <c r="E66" s="26"/>
      <c r="F66" s="26"/>
      <c r="G66" s="26"/>
      <c r="H66" s="26"/>
      <c r="I66" s="26">
        <f>ROUND(PRODUCT(C66:H66),2)</f>
        <v>0</v>
      </c>
      <c r="L66" s="13"/>
      <c r="M66" s="13"/>
    </row>
    <row r="67" spans="1:13" ht="15" customHeight="1" x14ac:dyDescent="0.4">
      <c r="A67" s="3"/>
      <c r="B67" s="3"/>
      <c r="C67" s="20"/>
      <c r="D67" s="20"/>
      <c r="E67" s="20"/>
      <c r="F67" s="20"/>
      <c r="G67" s="20"/>
      <c r="H67" s="19" t="str">
        <f>MASTER!$C10</f>
        <v>M2</v>
      </c>
      <c r="I67" s="19">
        <f>ROUND(SUM(I64:I66),2)</f>
        <v>150</v>
      </c>
      <c r="J67" s="16"/>
      <c r="K67" s="29"/>
      <c r="L67" s="13"/>
      <c r="M67" s="13"/>
    </row>
    <row r="68" spans="1:13" ht="15" customHeight="1" x14ac:dyDescent="0.4">
      <c r="A68" s="21"/>
      <c r="B68" s="21"/>
      <c r="C68" s="25"/>
      <c r="D68" s="25"/>
      <c r="E68" s="25"/>
      <c r="F68" s="25"/>
      <c r="G68" s="25"/>
      <c r="H68" s="25"/>
      <c r="I68" s="25"/>
    </row>
    <row r="69" spans="1:13" ht="23.25" customHeight="1" x14ac:dyDescent="0.4">
      <c r="A69" s="4" t="str">
        <f>MASTER!$A11</f>
        <v>63-21-05-040 O H</v>
      </c>
      <c r="B69" s="43" t="str">
        <f>MASTER!$B11</f>
        <v>REJUNTAMENTO DE PISO CER¶MICO, COM CIMENTO BRANCO PARA JUNTAS DE AT 3MM</v>
      </c>
      <c r="C69" s="44"/>
      <c r="D69" s="44"/>
      <c r="E69" s="44"/>
      <c r="F69" s="44"/>
      <c r="G69" s="44"/>
      <c r="H69" s="44"/>
      <c r="I69" s="45"/>
      <c r="J69" s="15">
        <f>MASTER!$D11</f>
        <v>150</v>
      </c>
      <c r="K69" s="27" t="str">
        <f>IF(I74&lt;&gt;J69, "ERRO", "OK")</f>
        <v>OK</v>
      </c>
    </row>
    <row r="70" spans="1:13" s="2" customFormat="1" ht="14.25" customHeight="1" x14ac:dyDescent="0.25">
      <c r="A70" s="46" t="s">
        <v>1</v>
      </c>
      <c r="B70" s="46"/>
      <c r="C70" s="18" t="s">
        <v>4</v>
      </c>
      <c r="D70" s="18" t="s">
        <v>2</v>
      </c>
      <c r="E70" s="18" t="s">
        <v>3</v>
      </c>
      <c r="F70" s="18" t="s">
        <v>5</v>
      </c>
      <c r="G70" s="18" t="s">
        <v>11</v>
      </c>
      <c r="H70" s="18" t="s">
        <v>12</v>
      </c>
      <c r="I70" s="18" t="s">
        <v>0</v>
      </c>
      <c r="J70" s="15"/>
      <c r="K70" s="27"/>
    </row>
    <row r="71" spans="1:13" s="2" customFormat="1" ht="14.25" customHeight="1" x14ac:dyDescent="0.25">
      <c r="A71" s="41"/>
      <c r="B71" s="42"/>
      <c r="C71" s="26"/>
      <c r="D71" s="26"/>
      <c r="E71" s="26"/>
      <c r="F71" s="26">
        <v>150</v>
      </c>
      <c r="G71" s="26"/>
      <c r="H71" s="26"/>
      <c r="I71" s="26">
        <f>ROUND(PRODUCT(C71:H71),2)</f>
        <v>150</v>
      </c>
      <c r="J71" s="15"/>
      <c r="K71" s="27"/>
    </row>
    <row r="72" spans="1:13" s="2" customFormat="1" ht="14.25" hidden="1" customHeight="1" x14ac:dyDescent="0.25">
      <c r="A72" s="41"/>
      <c r="B72" s="42"/>
      <c r="C72" s="26"/>
      <c r="D72" s="26"/>
      <c r="E72" s="26"/>
      <c r="F72" s="26"/>
      <c r="G72" s="26"/>
      <c r="H72" s="26"/>
      <c r="I72" s="26">
        <f>ROUND(PRODUCT(C72:H72),2)</f>
        <v>0</v>
      </c>
      <c r="J72" s="15"/>
      <c r="K72" s="27"/>
    </row>
    <row r="73" spans="1:13" ht="15" hidden="1" customHeight="1" x14ac:dyDescent="0.4">
      <c r="A73" s="41"/>
      <c r="B73" s="42"/>
      <c r="C73" s="26"/>
      <c r="D73" s="26"/>
      <c r="E73" s="26"/>
      <c r="F73" s="26"/>
      <c r="G73" s="26"/>
      <c r="H73" s="26"/>
      <c r="I73" s="26">
        <f>ROUND(PRODUCT(C73:H73),2)</f>
        <v>0</v>
      </c>
      <c r="K73" s="27"/>
    </row>
    <row r="74" spans="1:13" ht="15" customHeight="1" x14ac:dyDescent="0.4">
      <c r="A74" s="3"/>
      <c r="B74" s="3"/>
      <c r="C74" s="20"/>
      <c r="D74" s="20"/>
      <c r="E74" s="20"/>
      <c r="F74" s="20"/>
      <c r="G74" s="20"/>
      <c r="H74" s="19" t="str">
        <f>MASTER!$C11</f>
        <v>M2</v>
      </c>
      <c r="I74" s="19">
        <f>ROUND(SUM(I71:I73),2)</f>
        <v>150</v>
      </c>
      <c r="J74" s="16"/>
      <c r="K74" s="27"/>
      <c r="L74" s="13"/>
      <c r="M74" s="13"/>
    </row>
    <row r="75" spans="1:13" ht="15" customHeight="1" x14ac:dyDescent="0.4">
      <c r="A75" s="21"/>
      <c r="B75" s="21"/>
      <c r="C75" s="25"/>
      <c r="D75" s="25"/>
      <c r="E75" s="25"/>
      <c r="F75" s="25"/>
      <c r="G75" s="25"/>
      <c r="H75" s="25"/>
      <c r="I75" s="25"/>
      <c r="K75" s="27"/>
      <c r="L75" s="13"/>
      <c r="M75" s="13"/>
    </row>
    <row r="76" spans="1:13" ht="23.25" customHeight="1" x14ac:dyDescent="0.4">
      <c r="A76" s="4" t="str">
        <f>MASTER!$A12</f>
        <v>01-18-02-002 C H</v>
      </c>
      <c r="B76" s="43" t="str">
        <f>MASTER!$B12</f>
        <v>LIXAMENTO DE MASSA PARA MADEIRA. AF_01/2021 CS: 102194</v>
      </c>
      <c r="C76" s="44"/>
      <c r="D76" s="44"/>
      <c r="E76" s="44"/>
      <c r="F76" s="44"/>
      <c r="G76" s="44"/>
      <c r="H76" s="44"/>
      <c r="I76" s="45"/>
      <c r="J76" s="15">
        <f>MASTER!$D12</f>
        <v>200</v>
      </c>
      <c r="K76" s="27" t="str">
        <f>IF(I81&lt;&gt;J76, "ERRO", "OK")</f>
        <v>OK</v>
      </c>
      <c r="L76" s="13"/>
      <c r="M76" s="13"/>
    </row>
    <row r="77" spans="1:13" s="2" customFormat="1" ht="14.25" customHeight="1" x14ac:dyDescent="0.25">
      <c r="A77" s="46" t="s">
        <v>1</v>
      </c>
      <c r="B77" s="46"/>
      <c r="C77" s="18" t="s">
        <v>4</v>
      </c>
      <c r="D77" s="18" t="s">
        <v>2</v>
      </c>
      <c r="E77" s="18" t="s">
        <v>3</v>
      </c>
      <c r="F77" s="18" t="s">
        <v>5</v>
      </c>
      <c r="G77" s="18" t="s">
        <v>11</v>
      </c>
      <c r="H77" s="18" t="s">
        <v>12</v>
      </c>
      <c r="I77" s="18" t="s">
        <v>0</v>
      </c>
      <c r="J77" s="15"/>
      <c r="K77" s="27"/>
      <c r="L77" s="13"/>
      <c r="M77" s="13"/>
    </row>
    <row r="78" spans="1:13" s="2" customFormat="1" ht="14.25" customHeight="1" x14ac:dyDescent="0.25">
      <c r="A78" s="41"/>
      <c r="B78" s="42"/>
      <c r="C78" s="26"/>
      <c r="D78" s="26"/>
      <c r="E78" s="26"/>
      <c r="F78" s="26">
        <v>200</v>
      </c>
      <c r="G78" s="26"/>
      <c r="H78" s="26"/>
      <c r="I78" s="26">
        <f>ROUND(PRODUCT(C78:H78),2)</f>
        <v>200</v>
      </c>
      <c r="J78" s="15"/>
      <c r="K78" s="27"/>
      <c r="L78" s="13"/>
      <c r="M78" s="13"/>
    </row>
    <row r="79" spans="1:13" s="2" customFormat="1" ht="14.25" hidden="1" customHeight="1" x14ac:dyDescent="0.4">
      <c r="A79" s="41"/>
      <c r="B79" s="42"/>
      <c r="C79" s="26"/>
      <c r="D79" s="26"/>
      <c r="E79" s="26"/>
      <c r="F79" s="26"/>
      <c r="G79" s="26"/>
      <c r="H79" s="26"/>
      <c r="I79" s="26">
        <f>ROUND(PRODUCT(C79:H79),2)</f>
        <v>0</v>
      </c>
      <c r="J79" s="15"/>
      <c r="K79" s="28"/>
      <c r="L79" s="13"/>
      <c r="M79" s="13"/>
    </row>
    <row r="80" spans="1:13" ht="15" hidden="1" customHeight="1" x14ac:dyDescent="0.4">
      <c r="A80" s="41"/>
      <c r="B80" s="42"/>
      <c r="C80" s="26"/>
      <c r="D80" s="26"/>
      <c r="E80" s="26"/>
      <c r="F80" s="26"/>
      <c r="G80" s="26"/>
      <c r="H80" s="26"/>
      <c r="I80" s="26">
        <f>ROUND(PRODUCT(C80:H80),2)</f>
        <v>0</v>
      </c>
      <c r="L80" s="13"/>
      <c r="M80" s="13"/>
    </row>
    <row r="81" spans="1:13" ht="15" customHeight="1" x14ac:dyDescent="0.4">
      <c r="A81" s="3"/>
      <c r="B81" s="3"/>
      <c r="C81" s="20"/>
      <c r="D81" s="20"/>
      <c r="E81" s="20"/>
      <c r="F81" s="20"/>
      <c r="G81" s="20"/>
      <c r="H81" s="19" t="str">
        <f>MASTER!$C12</f>
        <v>M2</v>
      </c>
      <c r="I81" s="19">
        <f>ROUND(SUM(I78:I80),2)</f>
        <v>200</v>
      </c>
      <c r="J81" s="16"/>
      <c r="K81" s="29"/>
      <c r="L81" s="13"/>
      <c r="M81" s="13"/>
    </row>
    <row r="82" spans="1:13" ht="15" customHeight="1" x14ac:dyDescent="0.4">
      <c r="A82" s="21"/>
      <c r="B82" s="21"/>
      <c r="C82" s="25"/>
      <c r="D82" s="25"/>
      <c r="E82" s="25"/>
      <c r="F82" s="25"/>
      <c r="G82" s="25"/>
      <c r="H82" s="25"/>
      <c r="I82" s="25"/>
    </row>
    <row r="83" spans="1:13" ht="23.25" customHeight="1" x14ac:dyDescent="0.4">
      <c r="A83" s="4" t="str">
        <f>MASTER!$A13</f>
        <v>64-23-74-017 O H</v>
      </c>
      <c r="B83" s="43" t="str">
        <f>MASTER!$B13</f>
        <v>EMASSAMENTO DE PAREDES INTERNAS C/ MASSA ACRÖLICA DUAS DEMÇOS</v>
      </c>
      <c r="C83" s="44"/>
      <c r="D83" s="44"/>
      <c r="E83" s="44"/>
      <c r="F83" s="44"/>
      <c r="G83" s="44"/>
      <c r="H83" s="44"/>
      <c r="I83" s="45"/>
      <c r="J83" s="15">
        <f>MASTER!$D13</f>
        <v>200</v>
      </c>
      <c r="K83" s="27" t="str">
        <f>IF(I88&lt;&gt;J83, "ERRO", "OK")</f>
        <v>OK</v>
      </c>
    </row>
    <row r="84" spans="1:13" s="2" customFormat="1" ht="14.25" customHeight="1" x14ac:dyDescent="0.25">
      <c r="A84" s="51" t="s">
        <v>1</v>
      </c>
      <c r="B84" s="52"/>
      <c r="C84" s="18" t="s">
        <v>4</v>
      </c>
      <c r="D84" s="18" t="s">
        <v>2</v>
      </c>
      <c r="E84" s="18" t="s">
        <v>3</v>
      </c>
      <c r="F84" s="18" t="s">
        <v>5</v>
      </c>
      <c r="G84" s="18" t="s">
        <v>11</v>
      </c>
      <c r="H84" s="18" t="s">
        <v>12</v>
      </c>
      <c r="I84" s="18" t="s">
        <v>0</v>
      </c>
      <c r="J84" s="15"/>
      <c r="K84" s="27"/>
    </row>
    <row r="85" spans="1:13" s="2" customFormat="1" ht="14.25" customHeight="1" x14ac:dyDescent="0.25">
      <c r="A85" s="41"/>
      <c r="B85" s="50"/>
      <c r="C85" s="26"/>
      <c r="D85" s="26"/>
      <c r="E85" s="26"/>
      <c r="F85" s="26">
        <v>200</v>
      </c>
      <c r="G85" s="26"/>
      <c r="H85" s="26"/>
      <c r="I85" s="26">
        <f>ROUND(PRODUCT(C85:H85),2)</f>
        <v>200</v>
      </c>
      <c r="J85" s="15"/>
      <c r="K85" s="27"/>
    </row>
    <row r="86" spans="1:13" s="2" customFormat="1" ht="14.25" hidden="1" customHeight="1" x14ac:dyDescent="0.25">
      <c r="A86" s="41"/>
      <c r="B86" s="50"/>
      <c r="C86" s="26"/>
      <c r="D86" s="26"/>
      <c r="E86" s="26"/>
      <c r="F86" s="26"/>
      <c r="G86" s="26"/>
      <c r="H86" s="26"/>
      <c r="I86" s="26">
        <f>ROUND(PRODUCT(C86:H86),2)</f>
        <v>0</v>
      </c>
      <c r="J86" s="15"/>
      <c r="K86" s="27"/>
    </row>
    <row r="87" spans="1:13" ht="15" hidden="1" customHeight="1" x14ac:dyDescent="0.4">
      <c r="A87" s="41"/>
      <c r="B87" s="50"/>
      <c r="C87" s="26"/>
      <c r="D87" s="26"/>
      <c r="E87" s="26"/>
      <c r="F87" s="26"/>
      <c r="G87" s="26"/>
      <c r="H87" s="26"/>
      <c r="I87" s="26">
        <f>ROUND(PRODUCT(C87:H87),2)</f>
        <v>0</v>
      </c>
      <c r="K87" s="27"/>
    </row>
    <row r="88" spans="1:13" ht="15" customHeight="1" x14ac:dyDescent="0.4">
      <c r="A88" s="3"/>
      <c r="B88" s="3"/>
      <c r="C88" s="20"/>
      <c r="D88" s="20"/>
      <c r="E88" s="20"/>
      <c r="F88" s="20"/>
      <c r="G88" s="20"/>
      <c r="H88" s="19" t="str">
        <f>MASTER!$C13</f>
        <v>M2</v>
      </c>
      <c r="I88" s="19">
        <f>ROUND(SUM(I85:I87),2)</f>
        <v>200</v>
      </c>
      <c r="J88" s="16"/>
      <c r="K88" s="27"/>
      <c r="L88" s="13"/>
      <c r="M88" s="13"/>
    </row>
    <row r="89" spans="1:13" ht="15" customHeight="1" x14ac:dyDescent="0.4">
      <c r="A89" s="21"/>
      <c r="B89" s="21"/>
      <c r="C89" s="25"/>
      <c r="D89" s="25"/>
      <c r="E89" s="25"/>
      <c r="F89" s="25"/>
      <c r="G89" s="25"/>
      <c r="H89" s="25"/>
      <c r="I89" s="25"/>
      <c r="K89" s="27"/>
      <c r="L89" s="13"/>
      <c r="M89" s="13"/>
    </row>
    <row r="90" spans="1:13" ht="27" customHeight="1" x14ac:dyDescent="0.4">
      <c r="A90" s="4" t="str">
        <f>MASTER!$A14</f>
        <v>64-23-74-173 O H</v>
      </c>
      <c r="B90" s="43" t="str">
        <f>MASTER!$B14</f>
        <v>APLICA€ÇO MANUAL DE PINTURA COM TINTA LµTEX ACRÖLICA CORAL OU EQUIVALENTE TCNICA, EM PAREDES EXTERNAS, DUAS DEMÇOS</v>
      </c>
      <c r="C90" s="44"/>
      <c r="D90" s="44"/>
      <c r="E90" s="44"/>
      <c r="F90" s="44"/>
      <c r="G90" s="44"/>
      <c r="H90" s="44"/>
      <c r="I90" s="45"/>
      <c r="J90" s="15">
        <f>MASTER!$D14</f>
        <v>350</v>
      </c>
      <c r="K90" s="27" t="str">
        <f>IF(I95&lt;&gt;J90, "ERRO", "OK")</f>
        <v>OK</v>
      </c>
      <c r="L90" s="13"/>
      <c r="M90" s="13"/>
    </row>
    <row r="91" spans="1:13" s="2" customFormat="1" ht="14.25" customHeight="1" x14ac:dyDescent="0.25">
      <c r="A91" s="46" t="s">
        <v>1</v>
      </c>
      <c r="B91" s="46"/>
      <c r="C91" s="18" t="s">
        <v>4</v>
      </c>
      <c r="D91" s="18" t="s">
        <v>2</v>
      </c>
      <c r="E91" s="18" t="s">
        <v>3</v>
      </c>
      <c r="F91" s="18" t="s">
        <v>5</v>
      </c>
      <c r="G91" s="18" t="s">
        <v>11</v>
      </c>
      <c r="H91" s="18" t="s">
        <v>12</v>
      </c>
      <c r="I91" s="18" t="s">
        <v>0</v>
      </c>
      <c r="J91" s="15"/>
      <c r="K91" s="27"/>
      <c r="L91" s="13"/>
      <c r="M91" s="13"/>
    </row>
    <row r="92" spans="1:13" s="2" customFormat="1" ht="14.25" customHeight="1" x14ac:dyDescent="0.25">
      <c r="A92" s="41"/>
      <c r="B92" s="42"/>
      <c r="C92" s="26"/>
      <c r="D92" s="26"/>
      <c r="E92" s="26"/>
      <c r="F92" s="26">
        <v>350</v>
      </c>
      <c r="G92" s="26"/>
      <c r="H92" s="26"/>
      <c r="I92" s="26">
        <f>ROUND(PRODUCT(C92:H92),2)</f>
        <v>350</v>
      </c>
      <c r="J92" s="15"/>
      <c r="K92" s="27"/>
      <c r="L92" s="13"/>
      <c r="M92" s="13"/>
    </row>
    <row r="93" spans="1:13" s="2" customFormat="1" ht="14.25" hidden="1" customHeight="1" x14ac:dyDescent="0.4">
      <c r="A93" s="41"/>
      <c r="B93" s="42"/>
      <c r="C93" s="26"/>
      <c r="D93" s="26"/>
      <c r="E93" s="26"/>
      <c r="F93" s="26"/>
      <c r="G93" s="26"/>
      <c r="H93" s="26"/>
      <c r="I93" s="26">
        <f>ROUND(PRODUCT(C93:H93),2)</f>
        <v>0</v>
      </c>
      <c r="J93" s="15"/>
      <c r="K93" s="28"/>
      <c r="L93" s="13"/>
      <c r="M93" s="13"/>
    </row>
    <row r="94" spans="1:13" ht="15" hidden="1" customHeight="1" x14ac:dyDescent="0.4">
      <c r="A94" s="41"/>
      <c r="B94" s="42"/>
      <c r="C94" s="26"/>
      <c r="D94" s="26"/>
      <c r="E94" s="26"/>
      <c r="F94" s="26"/>
      <c r="G94" s="26"/>
      <c r="H94" s="26"/>
      <c r="I94" s="26">
        <f>ROUND(PRODUCT(C94:H94),2)</f>
        <v>0</v>
      </c>
      <c r="L94" s="13"/>
      <c r="M94" s="13"/>
    </row>
    <row r="95" spans="1:13" ht="15" customHeight="1" x14ac:dyDescent="0.4">
      <c r="A95" s="3"/>
      <c r="B95" s="3"/>
      <c r="C95" s="20"/>
      <c r="D95" s="20"/>
      <c r="E95" s="20"/>
      <c r="F95" s="20"/>
      <c r="G95" s="20"/>
      <c r="H95" s="19" t="str">
        <f>MASTER!$C14</f>
        <v>M2</v>
      </c>
      <c r="I95" s="19">
        <f>ROUND(SUM(I92:I94),2)</f>
        <v>350</v>
      </c>
      <c r="J95" s="16"/>
      <c r="L95" s="13"/>
      <c r="M95" s="13"/>
    </row>
    <row r="96" spans="1:13" ht="15" customHeight="1" x14ac:dyDescent="0.4">
      <c r="A96" s="22"/>
      <c r="B96" s="22"/>
      <c r="C96" s="23"/>
      <c r="D96" s="23"/>
      <c r="E96" s="23"/>
      <c r="F96" s="23"/>
      <c r="G96" s="23"/>
      <c r="H96" s="24"/>
      <c r="I96" s="24"/>
      <c r="J96" s="16"/>
      <c r="L96" s="13"/>
      <c r="M96" s="13"/>
    </row>
    <row r="97" spans="1:13" ht="23.25" customHeight="1" x14ac:dyDescent="0.4">
      <c r="A97" s="40" t="str">
        <f>MASTER!$A15</f>
        <v>001-004</v>
      </c>
      <c r="B97" s="47" t="str">
        <f>MASTER!$B15</f>
        <v>INSTALAÇÕES ELÉTRICAS</v>
      </c>
      <c r="C97" s="48"/>
      <c r="D97" s="48"/>
      <c r="E97" s="48"/>
      <c r="F97" s="48"/>
      <c r="G97" s="48"/>
      <c r="H97" s="48"/>
      <c r="I97" s="49"/>
      <c r="J97" s="15">
        <f>MASTER!$D15</f>
        <v>0</v>
      </c>
      <c r="K97" s="27" t="str">
        <f>IF(I102&lt;&gt;J97, "ERRO", "OK")</f>
        <v>OK</v>
      </c>
    </row>
    <row r="98" spans="1:13" s="2" customFormat="1" ht="14.25" hidden="1" customHeight="1" x14ac:dyDescent="0.25">
      <c r="A98" s="46" t="s">
        <v>1</v>
      </c>
      <c r="B98" s="46"/>
      <c r="C98" s="18" t="s">
        <v>4</v>
      </c>
      <c r="D98" s="18" t="s">
        <v>2</v>
      </c>
      <c r="E98" s="18" t="s">
        <v>3</v>
      </c>
      <c r="F98" s="18" t="s">
        <v>5</v>
      </c>
      <c r="G98" s="18" t="s">
        <v>11</v>
      </c>
      <c r="H98" s="18" t="s">
        <v>12</v>
      </c>
      <c r="I98" s="18" t="s">
        <v>0</v>
      </c>
      <c r="J98" s="15"/>
      <c r="K98" s="27"/>
    </row>
    <row r="99" spans="1:13" s="2" customFormat="1" ht="14.25" hidden="1" customHeight="1" x14ac:dyDescent="0.25">
      <c r="A99" s="41"/>
      <c r="B99" s="42"/>
      <c r="C99" s="26"/>
      <c r="D99" s="26"/>
      <c r="E99" s="26"/>
      <c r="F99" s="26"/>
      <c r="G99" s="26"/>
      <c r="H99" s="26"/>
      <c r="I99" s="26">
        <f>ROUND(PRODUCT(C99:H99),2)</f>
        <v>0</v>
      </c>
      <c r="J99" s="15"/>
      <c r="K99" s="27"/>
    </row>
    <row r="100" spans="1:13" s="2" customFormat="1" ht="14.25" hidden="1" customHeight="1" x14ac:dyDescent="0.25">
      <c r="A100" s="41"/>
      <c r="B100" s="42"/>
      <c r="C100" s="26"/>
      <c r="D100" s="26"/>
      <c r="E100" s="26"/>
      <c r="F100" s="26"/>
      <c r="G100" s="26"/>
      <c r="H100" s="26"/>
      <c r="I100" s="26">
        <f>ROUND(PRODUCT(C100:H100),2)</f>
        <v>0</v>
      </c>
      <c r="J100" s="15"/>
      <c r="K100" s="27"/>
    </row>
    <row r="101" spans="1:13" ht="15" hidden="1" customHeight="1" x14ac:dyDescent="0.4">
      <c r="A101" s="41"/>
      <c r="B101" s="42"/>
      <c r="C101" s="26"/>
      <c r="D101" s="26"/>
      <c r="E101" s="26"/>
      <c r="F101" s="26"/>
      <c r="G101" s="26"/>
      <c r="H101" s="26"/>
      <c r="I101" s="26">
        <f>ROUND(PRODUCT(C101:H101),2)</f>
        <v>0</v>
      </c>
      <c r="K101" s="27"/>
    </row>
    <row r="102" spans="1:13" ht="15" hidden="1" customHeight="1" x14ac:dyDescent="0.4">
      <c r="A102" s="3"/>
      <c r="B102" s="3"/>
      <c r="C102" s="20"/>
      <c r="D102" s="20"/>
      <c r="E102" s="20"/>
      <c r="F102" s="20"/>
      <c r="G102" s="20"/>
      <c r="H102" s="19">
        <f>MASTER!$C15</f>
        <v>0</v>
      </c>
      <c r="I102" s="19">
        <f>ROUND(SUM(I99:I101),2)</f>
        <v>0</v>
      </c>
      <c r="J102" s="16"/>
      <c r="K102" s="27"/>
      <c r="L102" s="13"/>
      <c r="M102" s="13"/>
    </row>
    <row r="103" spans="1:13" ht="15" hidden="1" customHeight="1" x14ac:dyDescent="0.4">
      <c r="A103" s="21"/>
      <c r="B103" s="21"/>
      <c r="C103" s="25"/>
      <c r="D103" s="25"/>
      <c r="E103" s="25"/>
      <c r="F103" s="25"/>
      <c r="G103" s="25"/>
      <c r="H103" s="25"/>
      <c r="I103" s="25"/>
      <c r="K103" s="27"/>
      <c r="L103" s="13"/>
      <c r="M103" s="13"/>
    </row>
    <row r="104" spans="1:13" ht="23.25" customHeight="1" x14ac:dyDescent="0.4">
      <c r="A104" s="4" t="str">
        <f>MASTER!$A16</f>
        <v>62-23-68-005 O H</v>
      </c>
      <c r="B104" s="43" t="str">
        <f>MASTER!$B16</f>
        <v>CAIXA DE MEDI€ÇO TC PADRÇO COELBA,DIMEN-SÇO (2,00 X 0,80 X 0,30)M - FORNECIMENTO E INSTALA€ÇO</v>
      </c>
      <c r="C104" s="44"/>
      <c r="D104" s="44"/>
      <c r="E104" s="44"/>
      <c r="F104" s="44"/>
      <c r="G104" s="44"/>
      <c r="H104" s="44"/>
      <c r="I104" s="45"/>
      <c r="J104" s="15">
        <f>MASTER!$D16</f>
        <v>1</v>
      </c>
      <c r="K104" s="27" t="str">
        <f>IF(I109&lt;&gt;J104, "ERRO", "OK")</f>
        <v>OK</v>
      </c>
      <c r="L104" s="13"/>
      <c r="M104" s="13"/>
    </row>
    <row r="105" spans="1:13" s="2" customFormat="1" ht="14.25" customHeight="1" x14ac:dyDescent="0.25">
      <c r="A105" s="46" t="s">
        <v>1</v>
      </c>
      <c r="B105" s="46"/>
      <c r="C105" s="18" t="s">
        <v>4</v>
      </c>
      <c r="D105" s="18" t="s">
        <v>2</v>
      </c>
      <c r="E105" s="18" t="s">
        <v>3</v>
      </c>
      <c r="F105" s="18" t="s">
        <v>5</v>
      </c>
      <c r="G105" s="18" t="s">
        <v>11</v>
      </c>
      <c r="H105" s="18" t="s">
        <v>12</v>
      </c>
      <c r="I105" s="18" t="s">
        <v>0</v>
      </c>
      <c r="J105" s="15"/>
      <c r="K105" s="27"/>
      <c r="L105" s="13"/>
      <c r="M105" s="13"/>
    </row>
    <row r="106" spans="1:13" s="2" customFormat="1" ht="14.25" customHeight="1" x14ac:dyDescent="0.25">
      <c r="A106" s="41"/>
      <c r="B106" s="42"/>
      <c r="C106" s="26"/>
      <c r="D106" s="26"/>
      <c r="E106" s="26"/>
      <c r="F106" s="26">
        <v>1</v>
      </c>
      <c r="G106" s="26"/>
      <c r="H106" s="26"/>
      <c r="I106" s="26">
        <f>ROUND(PRODUCT(C106:H106),2)</f>
        <v>1</v>
      </c>
      <c r="J106" s="15"/>
      <c r="K106" s="27"/>
      <c r="L106" s="13"/>
      <c r="M106" s="13"/>
    </row>
    <row r="107" spans="1:13" s="2" customFormat="1" ht="14.25" hidden="1" customHeight="1" x14ac:dyDescent="0.4">
      <c r="A107" s="41"/>
      <c r="B107" s="42"/>
      <c r="C107" s="26"/>
      <c r="D107" s="26"/>
      <c r="E107" s="26"/>
      <c r="F107" s="26"/>
      <c r="G107" s="26"/>
      <c r="H107" s="26"/>
      <c r="I107" s="26">
        <f>ROUND(PRODUCT(C107:H107),2)</f>
        <v>0</v>
      </c>
      <c r="J107" s="15"/>
      <c r="K107" s="28"/>
      <c r="L107" s="13"/>
      <c r="M107" s="13"/>
    </row>
    <row r="108" spans="1:13" ht="15" hidden="1" customHeight="1" x14ac:dyDescent="0.4">
      <c r="A108" s="41"/>
      <c r="B108" s="42"/>
      <c r="C108" s="26"/>
      <c r="D108" s="26"/>
      <c r="E108" s="26"/>
      <c r="F108" s="26"/>
      <c r="G108" s="26"/>
      <c r="H108" s="26"/>
      <c r="I108" s="26">
        <f>ROUND(PRODUCT(C108:H108),2)</f>
        <v>0</v>
      </c>
      <c r="L108" s="13"/>
      <c r="M108" s="13"/>
    </row>
    <row r="109" spans="1:13" ht="15" customHeight="1" x14ac:dyDescent="0.4">
      <c r="A109" s="3"/>
      <c r="B109" s="3"/>
      <c r="C109" s="20"/>
      <c r="D109" s="20"/>
      <c r="E109" s="20"/>
      <c r="F109" s="20"/>
      <c r="G109" s="20"/>
      <c r="H109" s="19" t="str">
        <f>MASTER!$C16</f>
        <v>UN</v>
      </c>
      <c r="I109" s="19">
        <f>ROUND(SUM(I106:I108),2)</f>
        <v>1</v>
      </c>
      <c r="J109" s="16"/>
      <c r="K109" s="29"/>
      <c r="L109" s="13"/>
      <c r="M109" s="13"/>
    </row>
    <row r="110" spans="1:13" ht="15" customHeight="1" x14ac:dyDescent="0.4">
      <c r="A110" s="21"/>
      <c r="B110" s="21"/>
      <c r="C110" s="25"/>
      <c r="D110" s="25"/>
      <c r="E110" s="25"/>
      <c r="F110" s="25"/>
      <c r="G110" s="25"/>
      <c r="H110" s="25"/>
      <c r="I110" s="25"/>
    </row>
    <row r="111" spans="1:13" ht="27" customHeight="1" x14ac:dyDescent="0.4">
      <c r="A111" s="4" t="str">
        <f>MASTER!$A17</f>
        <v>64-23-74-014 O H</v>
      </c>
      <c r="B111" s="43" t="str">
        <f>MASTER!$B17</f>
        <v>QUADRO GERAL DE BAIXA TENSÇO - QGBT,COMACABAMENTO EM PINTURA ELETROSTµTICA ABASE DE RESINA EPàXI,IP54,BARRAMENTOS COM TERMOCONTRµTIL,CHAPA DE A€O 12(ESTRUTURA) E 14(FECHAMENTO) - INSTALADO</v>
      </c>
      <c r="C111" s="44"/>
      <c r="D111" s="44"/>
      <c r="E111" s="44"/>
      <c r="F111" s="44"/>
      <c r="G111" s="44"/>
      <c r="H111" s="44"/>
      <c r="I111" s="45"/>
      <c r="J111" s="15">
        <f>MASTER!$D17</f>
        <v>1</v>
      </c>
      <c r="K111" s="27" t="str">
        <f>IF(I116&lt;&gt;J111, "ERRO", "OK")</f>
        <v>OK</v>
      </c>
    </row>
    <row r="112" spans="1:13" s="2" customFormat="1" ht="14.25" customHeight="1" x14ac:dyDescent="0.25">
      <c r="A112" s="46" t="s">
        <v>1</v>
      </c>
      <c r="B112" s="46"/>
      <c r="C112" s="18" t="s">
        <v>4</v>
      </c>
      <c r="D112" s="18" t="s">
        <v>2</v>
      </c>
      <c r="E112" s="18" t="s">
        <v>3</v>
      </c>
      <c r="F112" s="18" t="s">
        <v>5</v>
      </c>
      <c r="G112" s="18" t="s">
        <v>11</v>
      </c>
      <c r="H112" s="18" t="s">
        <v>12</v>
      </c>
      <c r="I112" s="18" t="s">
        <v>0</v>
      </c>
      <c r="J112" s="15"/>
      <c r="K112" s="27"/>
    </row>
    <row r="113" spans="1:13" s="2" customFormat="1" ht="14.25" customHeight="1" x14ac:dyDescent="0.25">
      <c r="A113" s="41"/>
      <c r="B113" s="42"/>
      <c r="C113" s="26"/>
      <c r="D113" s="26"/>
      <c r="E113" s="26"/>
      <c r="F113" s="26">
        <v>1</v>
      </c>
      <c r="G113" s="26"/>
      <c r="H113" s="26"/>
      <c r="I113" s="26">
        <f>ROUND(PRODUCT(C113:H113),2)</f>
        <v>1</v>
      </c>
      <c r="J113" s="15"/>
      <c r="K113" s="27"/>
    </row>
    <row r="114" spans="1:13" s="2" customFormat="1" ht="14.25" hidden="1" customHeight="1" x14ac:dyDescent="0.25">
      <c r="A114" s="41"/>
      <c r="B114" s="42"/>
      <c r="C114" s="26"/>
      <c r="D114" s="26"/>
      <c r="E114" s="26"/>
      <c r="F114" s="26"/>
      <c r="G114" s="26"/>
      <c r="H114" s="26"/>
      <c r="I114" s="26">
        <f>ROUND(PRODUCT(C114:H114),2)</f>
        <v>0</v>
      </c>
      <c r="J114" s="15"/>
      <c r="K114" s="27"/>
    </row>
    <row r="115" spans="1:13" ht="15" hidden="1" customHeight="1" x14ac:dyDescent="0.4">
      <c r="A115" s="41"/>
      <c r="B115" s="42"/>
      <c r="C115" s="26"/>
      <c r="D115" s="26"/>
      <c r="E115" s="26"/>
      <c r="F115" s="26"/>
      <c r="G115" s="26"/>
      <c r="H115" s="26"/>
      <c r="I115" s="26">
        <f>ROUND(PRODUCT(C115:H115),2)</f>
        <v>0</v>
      </c>
      <c r="K115" s="27"/>
    </row>
    <row r="116" spans="1:13" ht="15" customHeight="1" x14ac:dyDescent="0.4">
      <c r="A116" s="3"/>
      <c r="B116" s="3"/>
      <c r="C116" s="20"/>
      <c r="D116" s="20"/>
      <c r="E116" s="20"/>
      <c r="F116" s="20"/>
      <c r="G116" s="20"/>
      <c r="H116" s="19" t="str">
        <f>MASTER!$C17</f>
        <v>UN</v>
      </c>
      <c r="I116" s="19">
        <f>ROUND(SUM(I113:I115),2)</f>
        <v>1</v>
      </c>
      <c r="J116" s="16"/>
      <c r="K116" s="27"/>
      <c r="L116" s="13"/>
      <c r="M116" s="13"/>
    </row>
    <row r="117" spans="1:13" ht="15" customHeight="1" x14ac:dyDescent="0.4">
      <c r="A117" s="21"/>
      <c r="B117" s="21"/>
      <c r="C117" s="25"/>
      <c r="D117" s="25"/>
      <c r="E117" s="25"/>
      <c r="F117" s="25"/>
      <c r="G117" s="25"/>
      <c r="H117" s="25"/>
      <c r="I117" s="25"/>
      <c r="K117" s="27"/>
      <c r="L117" s="13"/>
      <c r="M117" s="13"/>
    </row>
    <row r="118" spans="1:13" ht="27" customHeight="1" x14ac:dyDescent="0.4">
      <c r="A118" s="4" t="str">
        <f>MASTER!$A18</f>
        <v>01-11-03-022 C H</v>
      </c>
      <c r="B118" s="43" t="str">
        <f>MASTER!$B18</f>
        <v>CABO DE COBRE FLEXÖVEL ISOLADO, 120 MMý, ANTI-CHAMA 0,6/1,0 KV, PARA REDE ENTERRADA DE DISTRIBUI€ÇO DE ENERGIA ELTRICA- FORNECIMENTO E INSTALA€ÇO. AF_12/2021CS: 92994</v>
      </c>
      <c r="C118" s="44"/>
      <c r="D118" s="44"/>
      <c r="E118" s="44"/>
      <c r="F118" s="44"/>
      <c r="G118" s="44"/>
      <c r="H118" s="44"/>
      <c r="I118" s="45"/>
      <c r="J118" s="15">
        <f>MASTER!$D18</f>
        <v>600</v>
      </c>
      <c r="K118" s="27" t="str">
        <f>IF(I123&lt;&gt;J118, "ERRO", "OK")</f>
        <v>OK</v>
      </c>
      <c r="L118" s="13"/>
      <c r="M118" s="13"/>
    </row>
    <row r="119" spans="1:13" s="2" customFormat="1" ht="14.25" customHeight="1" x14ac:dyDescent="0.25">
      <c r="A119" s="46" t="s">
        <v>1</v>
      </c>
      <c r="B119" s="46"/>
      <c r="C119" s="18" t="s">
        <v>4</v>
      </c>
      <c r="D119" s="18" t="s">
        <v>2</v>
      </c>
      <c r="E119" s="18" t="s">
        <v>3</v>
      </c>
      <c r="F119" s="18" t="s">
        <v>5</v>
      </c>
      <c r="G119" s="18" t="s">
        <v>11</v>
      </c>
      <c r="H119" s="18" t="s">
        <v>12</v>
      </c>
      <c r="I119" s="18" t="s">
        <v>0</v>
      </c>
      <c r="J119" s="15"/>
      <c r="K119" s="27"/>
      <c r="L119" s="13"/>
      <c r="M119" s="13"/>
    </row>
    <row r="120" spans="1:13" s="2" customFormat="1" ht="14.25" customHeight="1" x14ac:dyDescent="0.25">
      <c r="A120" s="41"/>
      <c r="B120" s="42"/>
      <c r="C120" s="26"/>
      <c r="D120" s="26"/>
      <c r="E120" s="26"/>
      <c r="F120" s="26">
        <v>600</v>
      </c>
      <c r="G120" s="26"/>
      <c r="H120" s="26"/>
      <c r="I120" s="26">
        <f>ROUND(PRODUCT(C120:H120),2)</f>
        <v>600</v>
      </c>
      <c r="J120" s="15"/>
      <c r="K120" s="27"/>
      <c r="L120" s="13"/>
      <c r="M120" s="13"/>
    </row>
    <row r="121" spans="1:13" s="2" customFormat="1" ht="14.25" hidden="1" customHeight="1" x14ac:dyDescent="0.4">
      <c r="A121" s="41"/>
      <c r="B121" s="42"/>
      <c r="C121" s="26"/>
      <c r="D121" s="26"/>
      <c r="E121" s="26"/>
      <c r="F121" s="26"/>
      <c r="G121" s="26"/>
      <c r="H121" s="26"/>
      <c r="I121" s="26">
        <f>ROUND(PRODUCT(C121:H121),2)</f>
        <v>0</v>
      </c>
      <c r="J121" s="15"/>
      <c r="K121" s="28"/>
      <c r="L121" s="13"/>
      <c r="M121" s="13"/>
    </row>
    <row r="122" spans="1:13" ht="15" hidden="1" customHeight="1" x14ac:dyDescent="0.4">
      <c r="A122" s="41"/>
      <c r="B122" s="42"/>
      <c r="C122" s="26"/>
      <c r="D122" s="26"/>
      <c r="E122" s="26"/>
      <c r="F122" s="26"/>
      <c r="G122" s="26"/>
      <c r="H122" s="26"/>
      <c r="I122" s="26">
        <f>ROUND(PRODUCT(C122:H122),2)</f>
        <v>0</v>
      </c>
      <c r="L122" s="13"/>
      <c r="M122" s="13"/>
    </row>
    <row r="123" spans="1:13" ht="15" customHeight="1" x14ac:dyDescent="0.4">
      <c r="A123" s="3"/>
      <c r="B123" s="3"/>
      <c r="C123" s="20"/>
      <c r="D123" s="20"/>
      <c r="E123" s="20"/>
      <c r="F123" s="20"/>
      <c r="G123" s="20"/>
      <c r="H123" s="19" t="str">
        <f>MASTER!$C18</f>
        <v>M</v>
      </c>
      <c r="I123" s="19">
        <f>ROUND(SUM(I120:I122),2)</f>
        <v>600</v>
      </c>
      <c r="J123" s="16"/>
      <c r="L123" s="13"/>
      <c r="M123" s="13"/>
    </row>
    <row r="124" spans="1:13" ht="15" customHeight="1" x14ac:dyDescent="0.4">
      <c r="A124" s="22"/>
      <c r="B124" s="22"/>
      <c r="C124" s="23"/>
      <c r="D124" s="23"/>
      <c r="E124" s="23"/>
      <c r="F124" s="23"/>
      <c r="G124" s="23"/>
      <c r="H124" s="24"/>
      <c r="I124" s="24"/>
      <c r="J124" s="16"/>
      <c r="L124" s="13"/>
      <c r="M124" s="13"/>
    </row>
    <row r="125" spans="1:13" ht="27" customHeight="1" x14ac:dyDescent="0.4">
      <c r="A125" s="4" t="str">
        <f>MASTER!$A19</f>
        <v>01-11-01-041 C H</v>
      </c>
      <c r="B125" s="43" t="str">
        <f>MASTER!$B19</f>
        <v>ELETRODUTO RÖGIDO ROSCµVEL, PVC, DN 110MM (4), PARA REDE ENTERRADA DE DISTRIBUI€ÇO DE ENERGIA ELTRICA - FORNECIMENTO E INSTALA€ÇO. AF_12/2021 CS: 93012</v>
      </c>
      <c r="C125" s="44"/>
      <c r="D125" s="44"/>
      <c r="E125" s="44"/>
      <c r="F125" s="44"/>
      <c r="G125" s="44"/>
      <c r="H125" s="44"/>
      <c r="I125" s="45"/>
      <c r="J125" s="15">
        <f>MASTER!$D19</f>
        <v>250</v>
      </c>
      <c r="K125" s="27" t="str">
        <f>IF(I130&lt;&gt;J125, "ERRO", "OK")</f>
        <v>OK</v>
      </c>
    </row>
    <row r="126" spans="1:13" s="2" customFormat="1" ht="14.25" customHeight="1" x14ac:dyDescent="0.25">
      <c r="A126" s="46" t="s">
        <v>1</v>
      </c>
      <c r="B126" s="46"/>
      <c r="C126" s="18" t="s">
        <v>4</v>
      </c>
      <c r="D126" s="18" t="s">
        <v>2</v>
      </c>
      <c r="E126" s="18" t="s">
        <v>3</v>
      </c>
      <c r="F126" s="18" t="s">
        <v>5</v>
      </c>
      <c r="G126" s="18" t="s">
        <v>11</v>
      </c>
      <c r="H126" s="18" t="s">
        <v>12</v>
      </c>
      <c r="I126" s="18" t="s">
        <v>0</v>
      </c>
      <c r="J126" s="15"/>
      <c r="K126" s="27"/>
    </row>
    <row r="127" spans="1:13" s="2" customFormat="1" ht="14.25" customHeight="1" x14ac:dyDescent="0.25">
      <c r="A127" s="41"/>
      <c r="B127" s="42"/>
      <c r="C127" s="26"/>
      <c r="D127" s="26"/>
      <c r="E127" s="26"/>
      <c r="F127" s="26">
        <v>250</v>
      </c>
      <c r="G127" s="26"/>
      <c r="H127" s="26"/>
      <c r="I127" s="26">
        <f>ROUND(PRODUCT(C127:H127),2)</f>
        <v>250</v>
      </c>
      <c r="J127" s="15"/>
      <c r="K127" s="27"/>
    </row>
    <row r="128" spans="1:13" s="2" customFormat="1" ht="14.25" hidden="1" customHeight="1" x14ac:dyDescent="0.25">
      <c r="A128" s="41"/>
      <c r="B128" s="42"/>
      <c r="C128" s="26"/>
      <c r="D128" s="26"/>
      <c r="E128" s="26"/>
      <c r="F128" s="26"/>
      <c r="G128" s="26"/>
      <c r="H128" s="26"/>
      <c r="I128" s="26">
        <f>ROUND(PRODUCT(C128:H128),2)</f>
        <v>0</v>
      </c>
      <c r="J128" s="15"/>
      <c r="K128" s="27"/>
    </row>
    <row r="129" spans="1:13" ht="15" hidden="1" customHeight="1" x14ac:dyDescent="0.4">
      <c r="A129" s="41"/>
      <c r="B129" s="42"/>
      <c r="C129" s="26"/>
      <c r="D129" s="26"/>
      <c r="E129" s="26"/>
      <c r="F129" s="26"/>
      <c r="G129" s="26"/>
      <c r="H129" s="26"/>
      <c r="I129" s="26">
        <f>ROUND(PRODUCT(C129:H129),2)</f>
        <v>0</v>
      </c>
      <c r="K129" s="27"/>
    </row>
    <row r="130" spans="1:13" ht="15" customHeight="1" x14ac:dyDescent="0.4">
      <c r="A130" s="3"/>
      <c r="B130" s="3"/>
      <c r="C130" s="20"/>
      <c r="D130" s="20"/>
      <c r="E130" s="20"/>
      <c r="F130" s="20"/>
      <c r="G130" s="20"/>
      <c r="H130" s="19" t="str">
        <f>MASTER!$C19</f>
        <v>M</v>
      </c>
      <c r="I130" s="19">
        <f>ROUND(SUM(I127:I129),2)</f>
        <v>250</v>
      </c>
      <c r="J130" s="16"/>
      <c r="K130" s="27"/>
      <c r="L130" s="13"/>
      <c r="M130" s="13"/>
    </row>
    <row r="131" spans="1:13" ht="15" customHeight="1" x14ac:dyDescent="0.4">
      <c r="A131" s="21"/>
      <c r="B131" s="21"/>
      <c r="C131" s="25"/>
      <c r="D131" s="25"/>
      <c r="E131" s="25"/>
      <c r="F131" s="25"/>
      <c r="G131" s="25"/>
      <c r="H131" s="25"/>
      <c r="I131" s="25"/>
      <c r="K131" s="27"/>
      <c r="L131" s="13"/>
      <c r="M131" s="13"/>
    </row>
    <row r="132" spans="1:13" ht="27" customHeight="1" x14ac:dyDescent="0.4">
      <c r="A132" s="4" t="str">
        <f>MASTER!$A20</f>
        <v>63-23-90-011 O H</v>
      </c>
      <c r="B132" s="43" t="str">
        <f>MASTER!$B20</f>
        <v>ESCAVA€ÇO MANUAL DE VALA OU CAVA EM MATERIAL DE 1¦ CATEGORIA, PROFUNDIDADE AT 1,50M - ORSE: 02497</v>
      </c>
      <c r="C132" s="44"/>
      <c r="D132" s="44"/>
      <c r="E132" s="44"/>
      <c r="F132" s="44"/>
      <c r="G132" s="44"/>
      <c r="H132" s="44"/>
      <c r="I132" s="45"/>
      <c r="J132" s="15">
        <f>MASTER!$D20</f>
        <v>90</v>
      </c>
      <c r="K132" s="27" t="str">
        <f>IF(I137&lt;&gt;J132, "ERRO", "OK")</f>
        <v>OK</v>
      </c>
      <c r="L132" s="13"/>
      <c r="M132" s="13"/>
    </row>
    <row r="133" spans="1:13" s="2" customFormat="1" ht="14.25" customHeight="1" x14ac:dyDescent="0.25">
      <c r="A133" s="46" t="s">
        <v>1</v>
      </c>
      <c r="B133" s="46"/>
      <c r="C133" s="18" t="s">
        <v>4</v>
      </c>
      <c r="D133" s="18" t="s">
        <v>2</v>
      </c>
      <c r="E133" s="18" t="s">
        <v>3</v>
      </c>
      <c r="F133" s="18" t="s">
        <v>5</v>
      </c>
      <c r="G133" s="18" t="s">
        <v>11</v>
      </c>
      <c r="H133" s="18" t="s">
        <v>12</v>
      </c>
      <c r="I133" s="18" t="s">
        <v>0</v>
      </c>
      <c r="J133" s="15"/>
      <c r="K133" s="27"/>
      <c r="L133" s="13"/>
      <c r="M133" s="13"/>
    </row>
    <row r="134" spans="1:13" s="2" customFormat="1" ht="14.25" customHeight="1" x14ac:dyDescent="0.25">
      <c r="A134" s="41"/>
      <c r="B134" s="42"/>
      <c r="C134" s="26"/>
      <c r="D134" s="26"/>
      <c r="E134" s="26"/>
      <c r="F134" s="26">
        <v>90</v>
      </c>
      <c r="G134" s="26"/>
      <c r="H134" s="26"/>
      <c r="I134" s="26">
        <f>ROUND(PRODUCT(C134:H134),2)</f>
        <v>90</v>
      </c>
      <c r="J134" s="15"/>
      <c r="K134" s="27"/>
      <c r="L134" s="13"/>
      <c r="M134" s="13"/>
    </row>
    <row r="135" spans="1:13" s="2" customFormat="1" ht="14.25" hidden="1" customHeight="1" x14ac:dyDescent="0.4">
      <c r="A135" s="41"/>
      <c r="B135" s="42"/>
      <c r="C135" s="26"/>
      <c r="D135" s="26"/>
      <c r="E135" s="26"/>
      <c r="F135" s="26"/>
      <c r="G135" s="26"/>
      <c r="H135" s="26"/>
      <c r="I135" s="26">
        <f>ROUND(PRODUCT(C135:H135),2)</f>
        <v>0</v>
      </c>
      <c r="J135" s="15"/>
      <c r="K135" s="28"/>
      <c r="L135" s="13"/>
      <c r="M135" s="13"/>
    </row>
    <row r="136" spans="1:13" ht="15" hidden="1" customHeight="1" x14ac:dyDescent="0.4">
      <c r="A136" s="41"/>
      <c r="B136" s="42"/>
      <c r="C136" s="26"/>
      <c r="D136" s="26"/>
      <c r="E136" s="26"/>
      <c r="F136" s="26"/>
      <c r="G136" s="26"/>
      <c r="H136" s="26"/>
      <c r="I136" s="26">
        <f>ROUND(PRODUCT(C136:H136),2)</f>
        <v>0</v>
      </c>
      <c r="L136" s="13"/>
      <c r="M136" s="13"/>
    </row>
    <row r="137" spans="1:13" ht="15" customHeight="1" x14ac:dyDescent="0.4">
      <c r="A137" s="3"/>
      <c r="B137" s="3"/>
      <c r="C137" s="20"/>
      <c r="D137" s="20"/>
      <c r="E137" s="20"/>
      <c r="F137" s="20"/>
      <c r="G137" s="20"/>
      <c r="H137" s="19" t="str">
        <f>MASTER!$C20</f>
        <v>M3</v>
      </c>
      <c r="I137" s="19">
        <f>ROUND(SUM(I134:I136),2)</f>
        <v>90</v>
      </c>
      <c r="J137" s="16"/>
      <c r="L137" s="13"/>
      <c r="M137" s="13"/>
    </row>
    <row r="138" spans="1:13" ht="15" customHeight="1" x14ac:dyDescent="0.4">
      <c r="A138" s="22"/>
      <c r="B138" s="22"/>
      <c r="C138" s="23"/>
      <c r="D138" s="23"/>
      <c r="E138" s="23"/>
      <c r="F138" s="23"/>
      <c r="G138" s="23"/>
      <c r="H138" s="24"/>
      <c r="I138" s="24"/>
      <c r="J138" s="16"/>
      <c r="L138" s="13"/>
      <c r="M138" s="13"/>
    </row>
    <row r="139" spans="1:13" ht="23.25" customHeight="1" x14ac:dyDescent="0.4">
      <c r="A139" s="4" t="str">
        <f>MASTER!$A21</f>
        <v>66-23-68-006 U H</v>
      </c>
      <c r="B139" s="43" t="str">
        <f>MASTER!$B21</f>
        <v>REATERRO DE VALA COM COMPACTA€ÇO MANUAL</v>
      </c>
      <c r="C139" s="44"/>
      <c r="D139" s="44"/>
      <c r="E139" s="44"/>
      <c r="F139" s="44"/>
      <c r="G139" s="44"/>
      <c r="H139" s="44"/>
      <c r="I139" s="45"/>
      <c r="J139" s="15">
        <f>MASTER!$D21</f>
        <v>70</v>
      </c>
      <c r="K139" s="27" t="str">
        <f>IF(I144&lt;&gt;J139, "ERRO", "OK")</f>
        <v>OK</v>
      </c>
    </row>
    <row r="140" spans="1:13" s="2" customFormat="1" ht="14.25" customHeight="1" x14ac:dyDescent="0.25">
      <c r="A140" s="46" t="s">
        <v>1</v>
      </c>
      <c r="B140" s="46"/>
      <c r="C140" s="18" t="s">
        <v>4</v>
      </c>
      <c r="D140" s="18" t="s">
        <v>2</v>
      </c>
      <c r="E140" s="18" t="s">
        <v>3</v>
      </c>
      <c r="F140" s="18" t="s">
        <v>5</v>
      </c>
      <c r="G140" s="18" t="s">
        <v>11</v>
      </c>
      <c r="H140" s="18" t="s">
        <v>12</v>
      </c>
      <c r="I140" s="18" t="s">
        <v>0</v>
      </c>
      <c r="J140" s="15"/>
      <c r="K140" s="27"/>
    </row>
    <row r="141" spans="1:13" s="2" customFormat="1" ht="14.25" customHeight="1" x14ac:dyDescent="0.25">
      <c r="A141" s="41"/>
      <c r="B141" s="42"/>
      <c r="C141" s="26"/>
      <c r="D141" s="26"/>
      <c r="E141" s="26"/>
      <c r="F141" s="26">
        <v>70</v>
      </c>
      <c r="G141" s="26"/>
      <c r="H141" s="26"/>
      <c r="I141" s="26">
        <f>ROUND(PRODUCT(C141:H141),2)</f>
        <v>70</v>
      </c>
      <c r="J141" s="15"/>
      <c r="K141" s="27"/>
    </row>
    <row r="142" spans="1:13" s="2" customFormat="1" ht="14.25" hidden="1" customHeight="1" x14ac:dyDescent="0.25">
      <c r="A142" s="41"/>
      <c r="B142" s="42"/>
      <c r="C142" s="26"/>
      <c r="D142" s="26"/>
      <c r="E142" s="26"/>
      <c r="F142" s="26"/>
      <c r="G142" s="26"/>
      <c r="H142" s="26"/>
      <c r="I142" s="26">
        <f>ROUND(PRODUCT(C142:H142),2)</f>
        <v>0</v>
      </c>
      <c r="J142" s="15"/>
      <c r="K142" s="27"/>
    </row>
    <row r="143" spans="1:13" ht="15" hidden="1" customHeight="1" x14ac:dyDescent="0.4">
      <c r="A143" s="41"/>
      <c r="B143" s="42"/>
      <c r="C143" s="26"/>
      <c r="D143" s="26"/>
      <c r="E143" s="26"/>
      <c r="F143" s="26"/>
      <c r="G143" s="26"/>
      <c r="H143" s="26"/>
      <c r="I143" s="26">
        <f>ROUND(PRODUCT(C143:H143),2)</f>
        <v>0</v>
      </c>
      <c r="K143" s="27"/>
    </row>
    <row r="144" spans="1:13" ht="15" customHeight="1" x14ac:dyDescent="0.4">
      <c r="A144" s="3"/>
      <c r="B144" s="3"/>
      <c r="C144" s="20"/>
      <c r="D144" s="20"/>
      <c r="E144" s="20"/>
      <c r="F144" s="20"/>
      <c r="G144" s="20"/>
      <c r="H144" s="19" t="str">
        <f>MASTER!$C21</f>
        <v>M3</v>
      </c>
      <c r="I144" s="19">
        <f>ROUND(SUM(I141:I143),2)</f>
        <v>70</v>
      </c>
      <c r="J144" s="16"/>
      <c r="K144" s="27"/>
      <c r="L144" s="13"/>
      <c r="M144" s="13"/>
    </row>
    <row r="145" spans="1:13" ht="15" customHeight="1" x14ac:dyDescent="0.4">
      <c r="A145" s="21"/>
      <c r="B145" s="21"/>
      <c r="C145" s="25"/>
      <c r="D145" s="25"/>
      <c r="E145" s="25"/>
      <c r="F145" s="25"/>
      <c r="G145" s="25"/>
      <c r="H145" s="25"/>
      <c r="I145" s="25"/>
      <c r="K145" s="27"/>
      <c r="L145" s="13"/>
      <c r="M145" s="13"/>
    </row>
    <row r="146" spans="1:13" ht="27" customHeight="1" x14ac:dyDescent="0.4">
      <c r="A146" s="4" t="str">
        <f>MASTER!$A22</f>
        <v>01-11-05-042 C H</v>
      </c>
      <c r="B146" s="43" t="str">
        <f>MASTER!$B22</f>
        <v>DISJUNTOR TERMOMAGNTICO TRIPOLAR , CORRENTE NOMINAL DE 250A - FORNECIMENTO E INSTALA€ÇO. AF_10/2020 CS: 101897</v>
      </c>
      <c r="C146" s="44"/>
      <c r="D146" s="44"/>
      <c r="E146" s="44"/>
      <c r="F146" s="44"/>
      <c r="G146" s="44"/>
      <c r="H146" s="44"/>
      <c r="I146" s="45"/>
      <c r="J146" s="15">
        <f>MASTER!$D22</f>
        <v>2</v>
      </c>
      <c r="K146" s="27" t="str">
        <f>IF(I151&lt;&gt;J146, "ERRO", "OK")</f>
        <v>OK</v>
      </c>
      <c r="L146" s="13"/>
      <c r="M146" s="13"/>
    </row>
    <row r="147" spans="1:13" s="2" customFormat="1" ht="14.25" customHeight="1" x14ac:dyDescent="0.25">
      <c r="A147" s="46" t="s">
        <v>1</v>
      </c>
      <c r="B147" s="46"/>
      <c r="C147" s="18" t="s">
        <v>4</v>
      </c>
      <c r="D147" s="18" t="s">
        <v>2</v>
      </c>
      <c r="E147" s="18" t="s">
        <v>3</v>
      </c>
      <c r="F147" s="18" t="s">
        <v>5</v>
      </c>
      <c r="G147" s="18" t="s">
        <v>11</v>
      </c>
      <c r="H147" s="18" t="s">
        <v>12</v>
      </c>
      <c r="I147" s="18" t="s">
        <v>0</v>
      </c>
      <c r="J147" s="15"/>
      <c r="K147" s="27"/>
      <c r="L147" s="13"/>
      <c r="M147" s="13"/>
    </row>
    <row r="148" spans="1:13" s="2" customFormat="1" ht="14.25" customHeight="1" x14ac:dyDescent="0.25">
      <c r="A148" s="41"/>
      <c r="B148" s="42"/>
      <c r="C148" s="26"/>
      <c r="D148" s="26"/>
      <c r="E148" s="26"/>
      <c r="F148" s="26">
        <v>2</v>
      </c>
      <c r="G148" s="26"/>
      <c r="H148" s="26"/>
      <c r="I148" s="26">
        <f>ROUND(PRODUCT(C148:H148),2)</f>
        <v>2</v>
      </c>
      <c r="J148" s="15"/>
      <c r="K148" s="27"/>
      <c r="L148" s="13"/>
      <c r="M148" s="13"/>
    </row>
    <row r="149" spans="1:13" s="2" customFormat="1" ht="14.25" hidden="1" customHeight="1" x14ac:dyDescent="0.4">
      <c r="A149" s="41"/>
      <c r="B149" s="42"/>
      <c r="C149" s="26"/>
      <c r="D149" s="26"/>
      <c r="E149" s="26"/>
      <c r="F149" s="26"/>
      <c r="G149" s="26"/>
      <c r="H149" s="26"/>
      <c r="I149" s="26">
        <f>ROUND(PRODUCT(C149:H149),2)</f>
        <v>0</v>
      </c>
      <c r="J149" s="15"/>
      <c r="K149" s="28"/>
      <c r="L149" s="13"/>
      <c r="M149" s="13"/>
    </row>
    <row r="150" spans="1:13" ht="15" hidden="1" customHeight="1" x14ac:dyDescent="0.4">
      <c r="A150" s="41"/>
      <c r="B150" s="42"/>
      <c r="C150" s="26"/>
      <c r="D150" s="26"/>
      <c r="E150" s="26"/>
      <c r="F150" s="26"/>
      <c r="G150" s="26"/>
      <c r="H150" s="26"/>
      <c r="I150" s="26">
        <f>ROUND(PRODUCT(C150:H150),2)</f>
        <v>0</v>
      </c>
      <c r="L150" s="13"/>
      <c r="M150" s="13"/>
    </row>
    <row r="151" spans="1:13" ht="15" customHeight="1" x14ac:dyDescent="0.4">
      <c r="A151" s="3"/>
      <c r="B151" s="3"/>
      <c r="C151" s="20"/>
      <c r="D151" s="20"/>
      <c r="E151" s="20"/>
      <c r="F151" s="20"/>
      <c r="G151" s="20"/>
      <c r="H151" s="19" t="str">
        <f>MASTER!$C22</f>
        <v>UN</v>
      </c>
      <c r="I151" s="19">
        <f>ROUND(SUM(I148:I150),2)</f>
        <v>2</v>
      </c>
      <c r="J151" s="16"/>
      <c r="K151" s="29"/>
      <c r="L151" s="13"/>
      <c r="M151" s="13"/>
    </row>
    <row r="152" spans="1:13" ht="15" customHeight="1" x14ac:dyDescent="0.4">
      <c r="A152" s="21"/>
      <c r="B152" s="21"/>
      <c r="C152" s="25"/>
      <c r="D152" s="25"/>
      <c r="E152" s="25"/>
      <c r="F152" s="25"/>
      <c r="G152" s="25"/>
      <c r="H152" s="25"/>
      <c r="I152" s="25"/>
    </row>
    <row r="153" spans="1:13" ht="27" customHeight="1" x14ac:dyDescent="0.4">
      <c r="A153" s="4" t="str">
        <f>MASTER!$A23</f>
        <v>01-11-08-050 C H</v>
      </c>
      <c r="B153" s="43" t="str">
        <f>MASTER!$B23</f>
        <v>ARMA€ÇO SECUNDµRIA, COM 1 ESTRIBO E 1 ISOLADOR - FORNECIMENTO E INSTALA€ÇO. AF_07/2020 CS: 101538</v>
      </c>
      <c r="C153" s="44"/>
      <c r="D153" s="44"/>
      <c r="E153" s="44"/>
      <c r="F153" s="44"/>
      <c r="G153" s="44"/>
      <c r="H153" s="44"/>
      <c r="I153" s="45"/>
      <c r="J153" s="15">
        <f>MASTER!$D23</f>
        <v>1</v>
      </c>
      <c r="K153" s="27" t="str">
        <f>IF(I158&lt;&gt;J153, "ERRO", "OK")</f>
        <v>OK</v>
      </c>
    </row>
    <row r="154" spans="1:13" s="2" customFormat="1" ht="14.25" customHeight="1" x14ac:dyDescent="0.25">
      <c r="A154" s="46" t="s">
        <v>1</v>
      </c>
      <c r="B154" s="46"/>
      <c r="C154" s="18" t="s">
        <v>4</v>
      </c>
      <c r="D154" s="18" t="s">
        <v>2</v>
      </c>
      <c r="E154" s="18" t="s">
        <v>3</v>
      </c>
      <c r="F154" s="18" t="s">
        <v>5</v>
      </c>
      <c r="G154" s="18" t="s">
        <v>11</v>
      </c>
      <c r="H154" s="18" t="s">
        <v>12</v>
      </c>
      <c r="I154" s="18" t="s">
        <v>0</v>
      </c>
      <c r="J154" s="15"/>
      <c r="K154" s="27"/>
    </row>
    <row r="155" spans="1:13" s="2" customFormat="1" ht="14.25" customHeight="1" x14ac:dyDescent="0.25">
      <c r="A155" s="41"/>
      <c r="B155" s="42"/>
      <c r="C155" s="26"/>
      <c r="D155" s="26"/>
      <c r="E155" s="26"/>
      <c r="F155" s="26">
        <v>1</v>
      </c>
      <c r="G155" s="26"/>
      <c r="H155" s="26"/>
      <c r="I155" s="26">
        <f>ROUND(PRODUCT(C155:H155),2)</f>
        <v>1</v>
      </c>
      <c r="J155" s="15"/>
      <c r="K155" s="27"/>
    </row>
    <row r="156" spans="1:13" s="2" customFormat="1" ht="14.25" hidden="1" customHeight="1" x14ac:dyDescent="0.25">
      <c r="A156" s="41"/>
      <c r="B156" s="42"/>
      <c r="C156" s="26"/>
      <c r="D156" s="26"/>
      <c r="E156" s="26"/>
      <c r="F156" s="26"/>
      <c r="G156" s="26"/>
      <c r="H156" s="26"/>
      <c r="I156" s="26">
        <f>ROUND(PRODUCT(C156:H156),2)</f>
        <v>0</v>
      </c>
      <c r="J156" s="15"/>
      <c r="K156" s="27"/>
    </row>
    <row r="157" spans="1:13" ht="15" hidden="1" customHeight="1" x14ac:dyDescent="0.4">
      <c r="A157" s="41"/>
      <c r="B157" s="42"/>
      <c r="C157" s="26"/>
      <c r="D157" s="26"/>
      <c r="E157" s="26"/>
      <c r="F157" s="26"/>
      <c r="G157" s="26"/>
      <c r="H157" s="26"/>
      <c r="I157" s="26">
        <f>ROUND(PRODUCT(C157:H157),2)</f>
        <v>0</v>
      </c>
      <c r="K157" s="27"/>
    </row>
    <row r="158" spans="1:13" ht="15" customHeight="1" x14ac:dyDescent="0.4">
      <c r="A158" s="3"/>
      <c r="B158" s="3"/>
      <c r="C158" s="20"/>
      <c r="D158" s="20"/>
      <c r="E158" s="20"/>
      <c r="F158" s="20"/>
      <c r="G158" s="20"/>
      <c r="H158" s="19" t="str">
        <f>MASTER!$C23</f>
        <v>UN</v>
      </c>
      <c r="I158" s="19">
        <f>ROUND(SUM(I155:I157),2)</f>
        <v>1</v>
      </c>
      <c r="J158" s="16"/>
      <c r="K158" s="27"/>
      <c r="L158" s="13"/>
      <c r="M158" s="13"/>
    </row>
    <row r="159" spans="1:13" ht="15" customHeight="1" x14ac:dyDescent="0.4">
      <c r="A159" s="21"/>
      <c r="B159" s="21"/>
      <c r="C159" s="25"/>
      <c r="D159" s="25"/>
      <c r="E159" s="25"/>
      <c r="F159" s="25"/>
      <c r="G159" s="25"/>
      <c r="H159" s="25"/>
      <c r="I159" s="25"/>
      <c r="K159" s="27"/>
      <c r="L159" s="13"/>
      <c r="M159" s="13"/>
    </row>
    <row r="160" spans="1:13" ht="23.25" customHeight="1" x14ac:dyDescent="0.4">
      <c r="A160" s="4" t="str">
        <f>MASTER!$A24</f>
        <v>01-11-13-006 C H</v>
      </c>
      <c r="B160" s="43" t="str">
        <f>MASTER!$B24</f>
        <v>CORDOALHA DE COBRE NU 70 MMý, ENTERRADA- FORNECIMENTO E INSTALA€ÇO. AF_08/2023CS: 96978</v>
      </c>
      <c r="C160" s="44"/>
      <c r="D160" s="44"/>
      <c r="E160" s="44"/>
      <c r="F160" s="44"/>
      <c r="G160" s="44"/>
      <c r="H160" s="44"/>
      <c r="I160" s="45"/>
      <c r="J160" s="15">
        <f>MASTER!$D24</f>
        <v>190</v>
      </c>
      <c r="K160" s="27" t="str">
        <f>IF(I165&lt;&gt;J160, "ERRO", "OK")</f>
        <v>OK</v>
      </c>
      <c r="L160" s="13"/>
      <c r="M160" s="13"/>
    </row>
    <row r="161" spans="1:13" s="2" customFormat="1" ht="14.25" customHeight="1" x14ac:dyDescent="0.25">
      <c r="A161" s="46" t="s">
        <v>1</v>
      </c>
      <c r="B161" s="46"/>
      <c r="C161" s="18" t="s">
        <v>4</v>
      </c>
      <c r="D161" s="18" t="s">
        <v>2</v>
      </c>
      <c r="E161" s="18" t="s">
        <v>3</v>
      </c>
      <c r="F161" s="18" t="s">
        <v>5</v>
      </c>
      <c r="G161" s="18" t="s">
        <v>11</v>
      </c>
      <c r="H161" s="18" t="s">
        <v>12</v>
      </c>
      <c r="I161" s="18" t="s">
        <v>0</v>
      </c>
      <c r="J161" s="15"/>
      <c r="K161" s="27"/>
      <c r="L161" s="13"/>
      <c r="M161" s="13"/>
    </row>
    <row r="162" spans="1:13" s="2" customFormat="1" ht="14.25" customHeight="1" x14ac:dyDescent="0.25">
      <c r="A162" s="41"/>
      <c r="B162" s="42"/>
      <c r="C162" s="26"/>
      <c r="D162" s="26"/>
      <c r="E162" s="26"/>
      <c r="F162" s="26">
        <v>190</v>
      </c>
      <c r="G162" s="26"/>
      <c r="H162" s="26"/>
      <c r="I162" s="26">
        <f>ROUND(PRODUCT(C162:H162),2)</f>
        <v>190</v>
      </c>
      <c r="J162" s="15"/>
      <c r="K162" s="27"/>
      <c r="L162" s="13"/>
      <c r="M162" s="13"/>
    </row>
    <row r="163" spans="1:13" s="2" customFormat="1" ht="14.25" hidden="1" customHeight="1" x14ac:dyDescent="0.4">
      <c r="A163" s="41"/>
      <c r="B163" s="42"/>
      <c r="C163" s="26"/>
      <c r="D163" s="26"/>
      <c r="E163" s="26"/>
      <c r="F163" s="26"/>
      <c r="G163" s="26"/>
      <c r="H163" s="26"/>
      <c r="I163" s="26">
        <f>ROUND(PRODUCT(C163:H163),2)</f>
        <v>0</v>
      </c>
      <c r="J163" s="15"/>
      <c r="K163" s="28"/>
      <c r="L163" s="13"/>
      <c r="M163" s="13"/>
    </row>
    <row r="164" spans="1:13" ht="15" hidden="1" customHeight="1" x14ac:dyDescent="0.4">
      <c r="A164" s="41"/>
      <c r="B164" s="42"/>
      <c r="C164" s="26"/>
      <c r="D164" s="26"/>
      <c r="E164" s="26"/>
      <c r="F164" s="26"/>
      <c r="G164" s="26"/>
      <c r="H164" s="26"/>
      <c r="I164" s="26">
        <f>ROUND(PRODUCT(C164:H164),2)</f>
        <v>0</v>
      </c>
      <c r="L164" s="13"/>
      <c r="M164" s="13"/>
    </row>
    <row r="165" spans="1:13" ht="15" customHeight="1" x14ac:dyDescent="0.4">
      <c r="A165" s="3"/>
      <c r="B165" s="3"/>
      <c r="C165" s="20"/>
      <c r="D165" s="20"/>
      <c r="E165" s="20"/>
      <c r="F165" s="20"/>
      <c r="G165" s="20"/>
      <c r="H165" s="19" t="str">
        <f>MASTER!$C24</f>
        <v>M</v>
      </c>
      <c r="I165" s="19">
        <f>ROUND(SUM(I162:I164),2)</f>
        <v>190</v>
      </c>
      <c r="J165" s="16"/>
      <c r="L165" s="13"/>
      <c r="M165" s="13"/>
    </row>
    <row r="166" spans="1:13" ht="15" customHeight="1" x14ac:dyDescent="0.4">
      <c r="A166" s="22"/>
      <c r="B166" s="22"/>
      <c r="C166" s="23"/>
      <c r="D166" s="23"/>
      <c r="E166" s="23"/>
      <c r="F166" s="23"/>
      <c r="G166" s="23"/>
      <c r="H166" s="24"/>
      <c r="I166" s="24"/>
      <c r="J166" s="16"/>
      <c r="L166" s="13"/>
      <c r="M166" s="13"/>
    </row>
    <row r="167" spans="1:13" ht="27" customHeight="1" x14ac:dyDescent="0.4">
      <c r="A167" s="4" t="str">
        <f>MASTER!$A25</f>
        <v>62-23-65-117 U H</v>
      </c>
      <c r="B167" s="43" t="str">
        <f>MASTER!$B25</f>
        <v>CONECTOR CABO-HASTE EM BRONZE NATURAL PARA 1 CABO COBRE DE 16MM2 A 70MM2 COM GRAMPO U E PORCAS DE A€O GALV.REF:TEL-584 OU SIMILAR - FORNECIMENTO E INSTALA€ÇO</v>
      </c>
      <c r="C167" s="44"/>
      <c r="D167" s="44"/>
      <c r="E167" s="44"/>
      <c r="F167" s="44"/>
      <c r="G167" s="44"/>
      <c r="H167" s="44"/>
      <c r="I167" s="45"/>
      <c r="J167" s="15">
        <f>MASTER!$D25</f>
        <v>14</v>
      </c>
      <c r="K167" s="27" t="str">
        <f>IF(I172&lt;&gt;J167, "ERRO", "OK")</f>
        <v>OK</v>
      </c>
    </row>
    <row r="168" spans="1:13" s="2" customFormat="1" ht="14.25" customHeight="1" x14ac:dyDescent="0.25">
      <c r="A168" s="46" t="s">
        <v>1</v>
      </c>
      <c r="B168" s="46"/>
      <c r="C168" s="18" t="s">
        <v>4</v>
      </c>
      <c r="D168" s="18" t="s">
        <v>2</v>
      </c>
      <c r="E168" s="18" t="s">
        <v>3</v>
      </c>
      <c r="F168" s="18" t="s">
        <v>5</v>
      </c>
      <c r="G168" s="18" t="s">
        <v>11</v>
      </c>
      <c r="H168" s="18" t="s">
        <v>12</v>
      </c>
      <c r="I168" s="18" t="s">
        <v>0</v>
      </c>
      <c r="J168" s="15"/>
      <c r="K168" s="27"/>
    </row>
    <row r="169" spans="1:13" s="2" customFormat="1" ht="14.25" customHeight="1" x14ac:dyDescent="0.25">
      <c r="A169" s="41"/>
      <c r="B169" s="42"/>
      <c r="C169" s="26"/>
      <c r="D169" s="26"/>
      <c r="E169" s="26"/>
      <c r="F169" s="26">
        <v>14</v>
      </c>
      <c r="G169" s="26"/>
      <c r="H169" s="26"/>
      <c r="I169" s="26">
        <f>ROUND(PRODUCT(C169:H169),2)</f>
        <v>14</v>
      </c>
      <c r="J169" s="15"/>
      <c r="K169" s="27"/>
    </row>
    <row r="170" spans="1:13" s="2" customFormat="1" ht="14.25" hidden="1" customHeight="1" x14ac:dyDescent="0.25">
      <c r="A170" s="41"/>
      <c r="B170" s="42"/>
      <c r="C170" s="26"/>
      <c r="D170" s="26"/>
      <c r="E170" s="26"/>
      <c r="F170" s="26"/>
      <c r="G170" s="26"/>
      <c r="H170" s="26"/>
      <c r="I170" s="26">
        <f>ROUND(PRODUCT(C170:H170),2)</f>
        <v>0</v>
      </c>
      <c r="J170" s="15"/>
      <c r="K170" s="27"/>
    </row>
    <row r="171" spans="1:13" ht="15" hidden="1" customHeight="1" x14ac:dyDescent="0.4">
      <c r="A171" s="41"/>
      <c r="B171" s="42"/>
      <c r="C171" s="26"/>
      <c r="D171" s="26"/>
      <c r="E171" s="26"/>
      <c r="F171" s="26"/>
      <c r="G171" s="26"/>
      <c r="H171" s="26"/>
      <c r="I171" s="26">
        <f>ROUND(PRODUCT(C171:H171),2)</f>
        <v>0</v>
      </c>
      <c r="K171" s="27"/>
    </row>
    <row r="172" spans="1:13" ht="15" customHeight="1" x14ac:dyDescent="0.4">
      <c r="A172" s="3"/>
      <c r="B172" s="3"/>
      <c r="C172" s="20"/>
      <c r="D172" s="20"/>
      <c r="E172" s="20"/>
      <c r="F172" s="20"/>
      <c r="G172" s="20"/>
      <c r="H172" s="19" t="str">
        <f>MASTER!$C25</f>
        <v>UN</v>
      </c>
      <c r="I172" s="19">
        <f>ROUND(SUM(I169:I171),2)</f>
        <v>14</v>
      </c>
      <c r="J172" s="16"/>
      <c r="K172" s="27"/>
      <c r="L172" s="13"/>
      <c r="M172" s="13"/>
    </row>
    <row r="173" spans="1:13" ht="15" customHeight="1" x14ac:dyDescent="0.4">
      <c r="A173" s="21"/>
      <c r="B173" s="21"/>
      <c r="C173" s="25"/>
      <c r="D173" s="25"/>
      <c r="E173" s="25"/>
      <c r="F173" s="25"/>
      <c r="G173" s="25"/>
      <c r="H173" s="25"/>
      <c r="I173" s="25"/>
      <c r="K173" s="27"/>
      <c r="L173" s="13"/>
      <c r="M173" s="13"/>
    </row>
    <row r="174" spans="1:13" ht="27" customHeight="1" x14ac:dyDescent="0.4">
      <c r="A174" s="4" t="str">
        <f>MASTER!$A26</f>
        <v>63-21-05-016 O H</v>
      </c>
      <c r="B174" s="43" t="str">
        <f>MASTER!$B26</f>
        <v>HASTE DE ATERRAMENTO COPPERWELD, DIMENSåES DE 5/8X 3,00M,C/ CAIXA DE INSPE€ÇOEM POPIPROPILENO E TUBO ESGOTO 300MM</v>
      </c>
      <c r="C174" s="44"/>
      <c r="D174" s="44"/>
      <c r="E174" s="44"/>
      <c r="F174" s="44"/>
      <c r="G174" s="44"/>
      <c r="H174" s="44"/>
      <c r="I174" s="45"/>
      <c r="J174" s="15">
        <f>MASTER!$D26</f>
        <v>12</v>
      </c>
      <c r="K174" s="27" t="str">
        <f>IF(I179&lt;&gt;J174, "ERRO", "OK")</f>
        <v>OK</v>
      </c>
      <c r="L174" s="13"/>
      <c r="M174" s="13"/>
    </row>
    <row r="175" spans="1:13" s="2" customFormat="1" ht="14.25" customHeight="1" x14ac:dyDescent="0.25">
      <c r="A175" s="46" t="s">
        <v>1</v>
      </c>
      <c r="B175" s="46"/>
      <c r="C175" s="18" t="s">
        <v>4</v>
      </c>
      <c r="D175" s="18" t="s">
        <v>2</v>
      </c>
      <c r="E175" s="18" t="s">
        <v>3</v>
      </c>
      <c r="F175" s="18" t="s">
        <v>5</v>
      </c>
      <c r="G175" s="18" t="s">
        <v>11</v>
      </c>
      <c r="H175" s="18" t="s">
        <v>12</v>
      </c>
      <c r="I175" s="18" t="s">
        <v>0</v>
      </c>
      <c r="J175" s="15"/>
      <c r="K175" s="27"/>
      <c r="L175" s="13"/>
      <c r="M175" s="13"/>
    </row>
    <row r="176" spans="1:13" s="2" customFormat="1" ht="14.25" customHeight="1" x14ac:dyDescent="0.25">
      <c r="A176" s="41"/>
      <c r="B176" s="42"/>
      <c r="C176" s="26"/>
      <c r="D176" s="26"/>
      <c r="E176" s="26"/>
      <c r="F176" s="26">
        <v>12</v>
      </c>
      <c r="G176" s="26"/>
      <c r="H176" s="26"/>
      <c r="I176" s="26">
        <f>ROUND(PRODUCT(C176:H176),2)</f>
        <v>12</v>
      </c>
      <c r="J176" s="15"/>
      <c r="K176" s="27"/>
      <c r="L176" s="13"/>
      <c r="M176" s="13"/>
    </row>
    <row r="177" spans="1:13" s="2" customFormat="1" ht="14.25" hidden="1" customHeight="1" x14ac:dyDescent="0.4">
      <c r="A177" s="41"/>
      <c r="B177" s="42"/>
      <c r="C177" s="26"/>
      <c r="D177" s="26"/>
      <c r="E177" s="26"/>
      <c r="F177" s="26"/>
      <c r="G177" s="26"/>
      <c r="H177" s="26"/>
      <c r="I177" s="26">
        <f>ROUND(PRODUCT(C177:H177),2)</f>
        <v>0</v>
      </c>
      <c r="J177" s="15"/>
      <c r="K177" s="28"/>
      <c r="L177" s="13"/>
      <c r="M177" s="13"/>
    </row>
    <row r="178" spans="1:13" ht="15" hidden="1" customHeight="1" x14ac:dyDescent="0.4">
      <c r="A178" s="41"/>
      <c r="B178" s="42"/>
      <c r="C178" s="26"/>
      <c r="D178" s="26"/>
      <c r="E178" s="26"/>
      <c r="F178" s="26"/>
      <c r="G178" s="26"/>
      <c r="H178" s="26"/>
      <c r="I178" s="26">
        <f>ROUND(PRODUCT(C178:H178),2)</f>
        <v>0</v>
      </c>
      <c r="L178" s="13"/>
      <c r="M178" s="13"/>
    </row>
    <row r="179" spans="1:13" ht="15" customHeight="1" x14ac:dyDescent="0.4">
      <c r="A179" s="3"/>
      <c r="B179" s="3"/>
      <c r="C179" s="20"/>
      <c r="D179" s="20"/>
      <c r="E179" s="20"/>
      <c r="F179" s="20"/>
      <c r="G179" s="20"/>
      <c r="H179" s="19" t="str">
        <f>MASTER!$C26</f>
        <v>UN</v>
      </c>
      <c r="I179" s="19">
        <f>ROUND(SUM(I176:I178),2)</f>
        <v>12</v>
      </c>
      <c r="J179" s="16"/>
      <c r="L179" s="13"/>
      <c r="M179" s="13"/>
    </row>
    <row r="180" spans="1:13" ht="15" customHeight="1" x14ac:dyDescent="0.4">
      <c r="A180" s="22"/>
      <c r="B180" s="22"/>
      <c r="C180" s="23"/>
      <c r="D180" s="23"/>
      <c r="E180" s="23"/>
      <c r="F180" s="23"/>
      <c r="G180" s="23"/>
      <c r="H180" s="24"/>
      <c r="I180" s="24"/>
      <c r="J180" s="16"/>
      <c r="L180" s="13"/>
      <c r="M180" s="13"/>
    </row>
    <row r="181" spans="1:13" ht="27" customHeight="1" x14ac:dyDescent="0.4">
      <c r="A181" s="4" t="str">
        <f>MASTER!$A27</f>
        <v>63-21-05-014 O H</v>
      </c>
      <c r="B181" s="43" t="str">
        <f>MASTER!$B27</f>
        <v>QUADRO DE DISTRIBUI€ÇO DE LUZ EM CHAPA DE A€O DE SOBREPOR, AT 64 DIVISåES MODULARES, DIMENSåES EXTERNAS 973X405X95MM SEM BARRAMENTO</v>
      </c>
      <c r="C181" s="44"/>
      <c r="D181" s="44"/>
      <c r="E181" s="44"/>
      <c r="F181" s="44"/>
      <c r="G181" s="44"/>
      <c r="H181" s="44"/>
      <c r="I181" s="45"/>
      <c r="J181" s="15">
        <f>MASTER!$D27</f>
        <v>3</v>
      </c>
      <c r="K181" s="27" t="str">
        <f>IF(I186&lt;&gt;J181, "ERRO", "OK")</f>
        <v>OK</v>
      </c>
    </row>
    <row r="182" spans="1:13" s="2" customFormat="1" ht="14.25" customHeight="1" x14ac:dyDescent="0.25">
      <c r="A182" s="46" t="s">
        <v>1</v>
      </c>
      <c r="B182" s="46"/>
      <c r="C182" s="18" t="s">
        <v>4</v>
      </c>
      <c r="D182" s="18" t="s">
        <v>2</v>
      </c>
      <c r="E182" s="18" t="s">
        <v>3</v>
      </c>
      <c r="F182" s="18" t="s">
        <v>5</v>
      </c>
      <c r="G182" s="18" t="s">
        <v>11</v>
      </c>
      <c r="H182" s="18" t="s">
        <v>12</v>
      </c>
      <c r="I182" s="18" t="s">
        <v>0</v>
      </c>
      <c r="J182" s="15"/>
      <c r="K182" s="27"/>
    </row>
    <row r="183" spans="1:13" s="2" customFormat="1" ht="14.25" customHeight="1" x14ac:dyDescent="0.25">
      <c r="A183" s="41"/>
      <c r="B183" s="42"/>
      <c r="C183" s="26"/>
      <c r="D183" s="26"/>
      <c r="E183" s="26"/>
      <c r="F183" s="26">
        <v>3</v>
      </c>
      <c r="G183" s="26"/>
      <c r="H183" s="26"/>
      <c r="I183" s="26">
        <f>ROUND(PRODUCT(C183:H183),2)</f>
        <v>3</v>
      </c>
      <c r="J183" s="15"/>
      <c r="K183" s="27"/>
    </row>
    <row r="184" spans="1:13" s="2" customFormat="1" ht="14.25" hidden="1" customHeight="1" x14ac:dyDescent="0.25">
      <c r="A184" s="41"/>
      <c r="B184" s="42"/>
      <c r="C184" s="26"/>
      <c r="D184" s="26"/>
      <c r="E184" s="26"/>
      <c r="F184" s="26"/>
      <c r="G184" s="26"/>
      <c r="H184" s="26"/>
      <c r="I184" s="26">
        <f>ROUND(PRODUCT(C184:H184),2)</f>
        <v>0</v>
      </c>
      <c r="J184" s="15"/>
      <c r="K184" s="27"/>
    </row>
    <row r="185" spans="1:13" ht="15" hidden="1" customHeight="1" x14ac:dyDescent="0.4">
      <c r="A185" s="41"/>
      <c r="B185" s="42"/>
      <c r="C185" s="26"/>
      <c r="D185" s="26"/>
      <c r="E185" s="26"/>
      <c r="F185" s="26"/>
      <c r="G185" s="26"/>
      <c r="H185" s="26"/>
      <c r="I185" s="26">
        <f>ROUND(PRODUCT(C185:H185),2)</f>
        <v>0</v>
      </c>
      <c r="K185" s="27"/>
    </row>
    <row r="186" spans="1:13" ht="15" customHeight="1" x14ac:dyDescent="0.4">
      <c r="A186" s="3"/>
      <c r="B186" s="3"/>
      <c r="C186" s="20"/>
      <c r="D186" s="20"/>
      <c r="E186" s="20"/>
      <c r="F186" s="20"/>
      <c r="G186" s="20"/>
      <c r="H186" s="19" t="str">
        <f>MASTER!$C27</f>
        <v>UN</v>
      </c>
      <c r="I186" s="19">
        <f>ROUND(SUM(I183:I185),2)</f>
        <v>3</v>
      </c>
      <c r="J186" s="16"/>
      <c r="K186" s="27"/>
      <c r="L186" s="13"/>
      <c r="M186" s="13"/>
    </row>
    <row r="187" spans="1:13" ht="15" customHeight="1" x14ac:dyDescent="0.4">
      <c r="A187" s="22"/>
      <c r="B187" s="22"/>
      <c r="C187" s="23"/>
      <c r="D187" s="23"/>
      <c r="E187" s="23"/>
      <c r="F187" s="23"/>
      <c r="G187" s="23"/>
      <c r="H187" s="24"/>
      <c r="I187" s="24"/>
      <c r="J187" s="16"/>
      <c r="K187" s="27"/>
      <c r="L187" s="13"/>
      <c r="M187" s="13"/>
    </row>
    <row r="188" spans="1:13" ht="27" customHeight="1" x14ac:dyDescent="0.4">
      <c r="A188" s="4" t="str">
        <f>MASTER!$A28</f>
        <v>01-11-03-018 C H</v>
      </c>
      <c r="B188" s="43" t="str">
        <f>MASTER!$B28</f>
        <v>CABO DE COBRE FLEXÖVEL ISOLADO, 35 MMý,ANTI-CHAMA 0,6/1,0 KV, PARA REDE ENTERRADA DE DISTRIBUI€ÇO DE ENERGIA ELTRICA - FORNECIMENTO E INSTALA€ÇO. AF_12/2021 CS: 92986</v>
      </c>
      <c r="C188" s="44"/>
      <c r="D188" s="44"/>
      <c r="E188" s="44"/>
      <c r="F188" s="44"/>
      <c r="G188" s="44"/>
      <c r="H188" s="44"/>
      <c r="I188" s="45"/>
      <c r="J188" s="15">
        <f>MASTER!$D28</f>
        <v>170</v>
      </c>
      <c r="K188" s="27" t="str">
        <f>IF(I193&lt;&gt;J188, "ERRO", "OK")</f>
        <v>OK</v>
      </c>
      <c r="L188" s="13"/>
      <c r="M188" s="13"/>
    </row>
    <row r="189" spans="1:13" s="2" customFormat="1" ht="14.25" customHeight="1" x14ac:dyDescent="0.25">
      <c r="A189" s="46" t="s">
        <v>1</v>
      </c>
      <c r="B189" s="46"/>
      <c r="C189" s="18" t="s">
        <v>4</v>
      </c>
      <c r="D189" s="18" t="s">
        <v>2</v>
      </c>
      <c r="E189" s="18" t="s">
        <v>3</v>
      </c>
      <c r="F189" s="18" t="s">
        <v>5</v>
      </c>
      <c r="G189" s="18" t="s">
        <v>11</v>
      </c>
      <c r="H189" s="18" t="s">
        <v>12</v>
      </c>
      <c r="I189" s="18" t="s">
        <v>0</v>
      </c>
      <c r="J189" s="15"/>
      <c r="K189" s="27"/>
      <c r="L189" s="13"/>
      <c r="M189" s="13"/>
    </row>
    <row r="190" spans="1:13" s="2" customFormat="1" ht="14.25" customHeight="1" x14ac:dyDescent="0.25">
      <c r="A190" s="41"/>
      <c r="B190" s="42"/>
      <c r="C190" s="26"/>
      <c r="D190" s="26"/>
      <c r="E190" s="26"/>
      <c r="F190" s="26">
        <v>170</v>
      </c>
      <c r="G190" s="26"/>
      <c r="H190" s="26"/>
      <c r="I190" s="26">
        <f>ROUND(PRODUCT(C190:H190),2)</f>
        <v>170</v>
      </c>
      <c r="J190" s="15"/>
      <c r="K190" s="27"/>
      <c r="L190" s="13"/>
      <c r="M190" s="13"/>
    </row>
    <row r="191" spans="1:13" s="2" customFormat="1" ht="14.25" hidden="1" customHeight="1" x14ac:dyDescent="0.4">
      <c r="A191" s="41"/>
      <c r="B191" s="42"/>
      <c r="C191" s="26"/>
      <c r="D191" s="26"/>
      <c r="E191" s="26"/>
      <c r="F191" s="26"/>
      <c r="G191" s="26"/>
      <c r="H191" s="26"/>
      <c r="I191" s="26">
        <f>ROUND(PRODUCT(C191:H191),2)</f>
        <v>0</v>
      </c>
      <c r="J191" s="15"/>
      <c r="K191" s="28"/>
      <c r="L191" s="13"/>
      <c r="M191" s="13"/>
    </row>
    <row r="192" spans="1:13" ht="15" hidden="1" customHeight="1" x14ac:dyDescent="0.4">
      <c r="A192" s="41"/>
      <c r="B192" s="42"/>
      <c r="C192" s="26"/>
      <c r="D192" s="26"/>
      <c r="E192" s="26"/>
      <c r="F192" s="26"/>
      <c r="G192" s="26"/>
      <c r="H192" s="26"/>
      <c r="I192" s="26">
        <f>ROUND(PRODUCT(C192:H192),2)</f>
        <v>0</v>
      </c>
      <c r="L192" s="13"/>
      <c r="M192" s="13"/>
    </row>
    <row r="193" spans="1:13" ht="15" customHeight="1" x14ac:dyDescent="0.4">
      <c r="A193" s="3"/>
      <c r="B193" s="3"/>
      <c r="C193" s="20"/>
      <c r="D193" s="20"/>
      <c r="E193" s="20"/>
      <c r="F193" s="20"/>
      <c r="G193" s="20"/>
      <c r="H193" s="19" t="str">
        <f>MASTER!$C28</f>
        <v>M</v>
      </c>
      <c r="I193" s="19">
        <f>ROUND(SUM(I190:I192),2)</f>
        <v>170</v>
      </c>
      <c r="J193" s="16"/>
      <c r="K193" s="29"/>
      <c r="L193" s="13"/>
      <c r="M193" s="13"/>
    </row>
    <row r="194" spans="1:13" ht="15" customHeight="1" x14ac:dyDescent="0.4">
      <c r="A194" s="21"/>
      <c r="B194" s="21"/>
      <c r="C194" s="25"/>
      <c r="D194" s="25"/>
      <c r="E194" s="25"/>
      <c r="F194" s="25"/>
      <c r="G194" s="25"/>
      <c r="H194" s="25"/>
      <c r="I194" s="25"/>
    </row>
    <row r="195" spans="1:13" ht="23.25" customHeight="1" x14ac:dyDescent="0.4">
      <c r="A195" s="4" t="str">
        <f>MASTER!$A29</f>
        <v>63-21-05-057 O H</v>
      </c>
      <c r="B195" s="43" t="str">
        <f>MASTER!$B29</f>
        <v>TERMINAL OU CONECTOR DE PRESSÇO 120MM2 - FORNECIMENTO E INSTALA€ÇO</v>
      </c>
      <c r="C195" s="44"/>
      <c r="D195" s="44"/>
      <c r="E195" s="44"/>
      <c r="F195" s="44"/>
      <c r="G195" s="44"/>
      <c r="H195" s="44"/>
      <c r="I195" s="45"/>
      <c r="J195" s="15">
        <f>MASTER!$D29</f>
        <v>16</v>
      </c>
      <c r="K195" s="27" t="str">
        <f>IF(I200&lt;&gt;J195, "ERRO", "OK")</f>
        <v>OK</v>
      </c>
    </row>
    <row r="196" spans="1:13" s="2" customFormat="1" ht="14.25" customHeight="1" x14ac:dyDescent="0.25">
      <c r="A196" s="46" t="s">
        <v>1</v>
      </c>
      <c r="B196" s="46"/>
      <c r="C196" s="18" t="s">
        <v>4</v>
      </c>
      <c r="D196" s="18" t="s">
        <v>2</v>
      </c>
      <c r="E196" s="18" t="s">
        <v>3</v>
      </c>
      <c r="F196" s="18" t="s">
        <v>5</v>
      </c>
      <c r="G196" s="18" t="s">
        <v>11</v>
      </c>
      <c r="H196" s="18" t="s">
        <v>12</v>
      </c>
      <c r="I196" s="18" t="s">
        <v>0</v>
      </c>
      <c r="J196" s="15"/>
      <c r="K196" s="27"/>
    </row>
    <row r="197" spans="1:13" s="2" customFormat="1" ht="14.25" customHeight="1" x14ac:dyDescent="0.25">
      <c r="A197" s="41"/>
      <c r="B197" s="42"/>
      <c r="C197" s="26"/>
      <c r="D197" s="26"/>
      <c r="E197" s="26"/>
      <c r="F197" s="26">
        <v>16</v>
      </c>
      <c r="G197" s="26"/>
      <c r="H197" s="26"/>
      <c r="I197" s="26">
        <f>ROUND(PRODUCT(C197:H197),2)</f>
        <v>16</v>
      </c>
      <c r="J197" s="15"/>
      <c r="K197" s="27"/>
    </row>
    <row r="198" spans="1:13" s="2" customFormat="1" ht="14.25" hidden="1" customHeight="1" x14ac:dyDescent="0.25">
      <c r="A198" s="41"/>
      <c r="B198" s="42"/>
      <c r="C198" s="26"/>
      <c r="D198" s="26"/>
      <c r="E198" s="26"/>
      <c r="F198" s="26"/>
      <c r="G198" s="26"/>
      <c r="H198" s="26"/>
      <c r="I198" s="26">
        <f>ROUND(PRODUCT(C198:H198),2)</f>
        <v>0</v>
      </c>
      <c r="J198" s="15"/>
      <c r="K198" s="27"/>
    </row>
    <row r="199" spans="1:13" ht="15" hidden="1" customHeight="1" x14ac:dyDescent="0.4">
      <c r="A199" s="41"/>
      <c r="B199" s="42"/>
      <c r="C199" s="26"/>
      <c r="D199" s="26"/>
      <c r="E199" s="26"/>
      <c r="F199" s="26"/>
      <c r="G199" s="26"/>
      <c r="H199" s="26"/>
      <c r="I199" s="26">
        <f>ROUND(PRODUCT(C199:H199),2)</f>
        <v>0</v>
      </c>
      <c r="K199" s="27"/>
    </row>
    <row r="200" spans="1:13" ht="15" customHeight="1" x14ac:dyDescent="0.4">
      <c r="A200" s="3"/>
      <c r="B200" s="3"/>
      <c r="C200" s="20"/>
      <c r="D200" s="20"/>
      <c r="E200" s="20"/>
      <c r="F200" s="20"/>
      <c r="G200" s="20"/>
      <c r="H200" s="19" t="str">
        <f>MASTER!$C29</f>
        <v>UN</v>
      </c>
      <c r="I200" s="19">
        <f>ROUND(SUM(I197:I199),2)</f>
        <v>16</v>
      </c>
      <c r="J200" s="16"/>
      <c r="K200" s="27"/>
      <c r="L200" s="13"/>
      <c r="M200" s="13"/>
    </row>
    <row r="201" spans="1:13" ht="15" customHeight="1" x14ac:dyDescent="0.4">
      <c r="A201" s="21"/>
      <c r="B201" s="21"/>
      <c r="C201" s="25"/>
      <c r="D201" s="25"/>
      <c r="E201" s="25"/>
      <c r="F201" s="25"/>
      <c r="G201" s="25"/>
      <c r="H201" s="25"/>
      <c r="I201" s="25"/>
      <c r="K201" s="27"/>
      <c r="L201" s="13"/>
      <c r="M201" s="13"/>
    </row>
    <row r="202" spans="1:13" ht="27" customHeight="1" x14ac:dyDescent="0.4">
      <c r="A202" s="4" t="str">
        <f>MASTER!$A30</f>
        <v>01-11-01-039 C H</v>
      </c>
      <c r="B202" s="43" t="str">
        <f>MASTER!$B30</f>
        <v>ELETRODUTO RÖGIDO ROSCµVEL, PVC, DN 75 MM (2 1/2), PARA REDE ENTERRADA DE DISTRIBUI€ÇO DE ENERGIA ELTRICA - FORNECIMENTO E INSTALA€ÇO. AF_12/2021 CS: 93010</v>
      </c>
      <c r="C202" s="44"/>
      <c r="D202" s="44"/>
      <c r="E202" s="44"/>
      <c r="F202" s="44"/>
      <c r="G202" s="44"/>
      <c r="H202" s="44"/>
      <c r="I202" s="45"/>
      <c r="J202" s="15">
        <f>MASTER!$D30</f>
        <v>50</v>
      </c>
      <c r="K202" s="27" t="str">
        <f>IF(I207&lt;&gt;J202, "ERRO", "OK")</f>
        <v>OK</v>
      </c>
      <c r="L202" s="13"/>
      <c r="M202" s="13"/>
    </row>
    <row r="203" spans="1:13" s="2" customFormat="1" ht="15" customHeight="1" x14ac:dyDescent="0.25">
      <c r="A203" s="46" t="s">
        <v>1</v>
      </c>
      <c r="B203" s="46"/>
      <c r="C203" s="18" t="s">
        <v>4</v>
      </c>
      <c r="D203" s="18" t="s">
        <v>2</v>
      </c>
      <c r="E203" s="18" t="s">
        <v>3</v>
      </c>
      <c r="F203" s="18" t="s">
        <v>5</v>
      </c>
      <c r="G203" s="18" t="s">
        <v>11</v>
      </c>
      <c r="H203" s="18" t="s">
        <v>12</v>
      </c>
      <c r="I203" s="18" t="s">
        <v>0</v>
      </c>
      <c r="J203" s="15"/>
      <c r="K203" s="27"/>
      <c r="L203" s="13"/>
      <c r="M203" s="13"/>
    </row>
    <row r="204" spans="1:13" s="2" customFormat="1" ht="15" customHeight="1" x14ac:dyDescent="0.25">
      <c r="A204" s="41"/>
      <c r="B204" s="42"/>
      <c r="C204" s="26"/>
      <c r="D204" s="26"/>
      <c r="E204" s="26"/>
      <c r="F204" s="26">
        <v>50</v>
      </c>
      <c r="G204" s="26"/>
      <c r="H204" s="26"/>
      <c r="I204" s="26">
        <f>ROUND(PRODUCT(C204:H204),2)</f>
        <v>50</v>
      </c>
      <c r="J204" s="15"/>
      <c r="K204" s="27"/>
      <c r="L204" s="13"/>
      <c r="M204" s="13"/>
    </row>
    <row r="205" spans="1:13" s="2" customFormat="1" ht="15" hidden="1" customHeight="1" x14ac:dyDescent="0.4">
      <c r="A205" s="41"/>
      <c r="B205" s="42"/>
      <c r="C205" s="26"/>
      <c r="D205" s="26"/>
      <c r="E205" s="26"/>
      <c r="F205" s="26"/>
      <c r="G205" s="26"/>
      <c r="H205" s="26"/>
      <c r="I205" s="26">
        <f>ROUND(PRODUCT(C205:H205),2)</f>
        <v>0</v>
      </c>
      <c r="J205" s="15"/>
      <c r="K205" s="28"/>
      <c r="L205" s="13"/>
      <c r="M205" s="13"/>
    </row>
    <row r="206" spans="1:13" ht="15" hidden="1" customHeight="1" x14ac:dyDescent="0.4">
      <c r="A206" s="41"/>
      <c r="B206" s="42"/>
      <c r="C206" s="26"/>
      <c r="D206" s="26"/>
      <c r="E206" s="26"/>
      <c r="F206" s="26"/>
      <c r="G206" s="26"/>
      <c r="H206" s="26"/>
      <c r="I206" s="26">
        <f>ROUND(PRODUCT(C206:H206),2)</f>
        <v>0</v>
      </c>
      <c r="L206" s="13"/>
      <c r="M206" s="13"/>
    </row>
    <row r="207" spans="1:13" ht="15" customHeight="1" x14ac:dyDescent="0.4">
      <c r="A207" s="3"/>
      <c r="B207" s="3"/>
      <c r="C207" s="20"/>
      <c r="D207" s="20"/>
      <c r="E207" s="20"/>
      <c r="F207" s="20"/>
      <c r="G207" s="20"/>
      <c r="H207" s="19" t="str">
        <f>MASTER!$C30</f>
        <v>M</v>
      </c>
      <c r="I207" s="19">
        <f>ROUND(SUM(I204:I206),2)</f>
        <v>50</v>
      </c>
      <c r="J207" s="16"/>
      <c r="K207" s="29"/>
      <c r="L207" s="13"/>
      <c r="M207" s="13"/>
    </row>
    <row r="208" spans="1:13" ht="15" customHeight="1" x14ac:dyDescent="0.4">
      <c r="A208" s="21"/>
      <c r="B208" s="21"/>
      <c r="C208" s="25"/>
      <c r="D208" s="25"/>
      <c r="E208" s="25"/>
      <c r="F208" s="25"/>
      <c r="G208" s="25"/>
      <c r="H208" s="25"/>
      <c r="I208" s="25"/>
    </row>
    <row r="209" spans="1:13" ht="27" customHeight="1" x14ac:dyDescent="0.4">
      <c r="A209" s="4" t="str">
        <f>MASTER!$A31</f>
        <v>01-11-09-006 C H</v>
      </c>
      <c r="B209" s="43" t="str">
        <f>MASTER!$B31</f>
        <v>ASSENTAMENTO DE POSTE DE CONCRETO COM COMPRIMENTO NOMINAL DE 11 M, CARGA NOMINAL MENOR OU IGUAL A 1000 DAN, ENGASTAMENTO SIMPLES COM 1,7 M DE SOLO (NÇO INCLUI FORNECIMENTO). AF_11/2019 CS: 100583</v>
      </c>
      <c r="C209" s="44"/>
      <c r="D209" s="44"/>
      <c r="E209" s="44"/>
      <c r="F209" s="44"/>
      <c r="G209" s="44"/>
      <c r="H209" s="44"/>
      <c r="I209" s="45"/>
      <c r="J209" s="15">
        <f>MASTER!$D31</f>
        <v>1</v>
      </c>
      <c r="K209" s="27" t="str">
        <f>IF(I214&lt;&gt;J209, "ERRO", "OK")</f>
        <v>OK</v>
      </c>
    </row>
    <row r="210" spans="1:13" s="2" customFormat="1" ht="14.25" customHeight="1" x14ac:dyDescent="0.25">
      <c r="A210" s="46" t="s">
        <v>1</v>
      </c>
      <c r="B210" s="46"/>
      <c r="C210" s="18" t="s">
        <v>4</v>
      </c>
      <c r="D210" s="18" t="s">
        <v>2</v>
      </c>
      <c r="E210" s="18" t="s">
        <v>3</v>
      </c>
      <c r="F210" s="18" t="s">
        <v>5</v>
      </c>
      <c r="G210" s="18" t="s">
        <v>11</v>
      </c>
      <c r="H210" s="18" t="s">
        <v>12</v>
      </c>
      <c r="I210" s="18" t="s">
        <v>0</v>
      </c>
      <c r="J210" s="15"/>
      <c r="K210" s="27"/>
    </row>
    <row r="211" spans="1:13" s="2" customFormat="1" ht="14.25" customHeight="1" x14ac:dyDescent="0.25">
      <c r="A211" s="41"/>
      <c r="B211" s="42"/>
      <c r="C211" s="26"/>
      <c r="D211" s="26"/>
      <c r="E211" s="26"/>
      <c r="F211" s="26">
        <v>1</v>
      </c>
      <c r="G211" s="26"/>
      <c r="H211" s="26"/>
      <c r="I211" s="26">
        <f>ROUND(PRODUCT(C211:H211),2)</f>
        <v>1</v>
      </c>
      <c r="J211" s="15"/>
      <c r="K211" s="27"/>
    </row>
    <row r="212" spans="1:13" s="2" customFormat="1" ht="14.25" hidden="1" customHeight="1" x14ac:dyDescent="0.25">
      <c r="A212" s="41"/>
      <c r="B212" s="42"/>
      <c r="C212" s="26"/>
      <c r="D212" s="26"/>
      <c r="E212" s="26"/>
      <c r="F212" s="26"/>
      <c r="G212" s="26"/>
      <c r="H212" s="26"/>
      <c r="I212" s="26">
        <f>ROUND(PRODUCT(C212:H212),2)</f>
        <v>0</v>
      </c>
      <c r="J212" s="15"/>
      <c r="K212" s="27"/>
    </row>
    <row r="213" spans="1:13" ht="15" hidden="1" customHeight="1" x14ac:dyDescent="0.4">
      <c r="A213" s="41"/>
      <c r="B213" s="42"/>
      <c r="C213" s="26"/>
      <c r="D213" s="26"/>
      <c r="E213" s="26"/>
      <c r="F213" s="26"/>
      <c r="G213" s="26"/>
      <c r="H213" s="26"/>
      <c r="I213" s="26">
        <f>ROUND(PRODUCT(C213:H213),2)</f>
        <v>0</v>
      </c>
      <c r="K213" s="27"/>
    </row>
    <row r="214" spans="1:13" ht="15" customHeight="1" x14ac:dyDescent="0.4">
      <c r="A214" s="3"/>
      <c r="B214" s="3"/>
      <c r="C214" s="20"/>
      <c r="D214" s="20"/>
      <c r="E214" s="20"/>
      <c r="F214" s="20"/>
      <c r="G214" s="20"/>
      <c r="H214" s="19" t="str">
        <f>MASTER!$C31</f>
        <v>UN</v>
      </c>
      <c r="I214" s="19">
        <f>ROUND(SUM(I211:I213),2)</f>
        <v>1</v>
      </c>
      <c r="J214" s="16"/>
      <c r="K214" s="27"/>
      <c r="L214" s="13"/>
      <c r="M214" s="13"/>
    </row>
    <row r="215" spans="1:13" ht="15" customHeight="1" x14ac:dyDescent="0.4">
      <c r="A215" s="21"/>
      <c r="B215" s="21"/>
      <c r="C215" s="25"/>
      <c r="D215" s="25"/>
      <c r="E215" s="25"/>
      <c r="F215" s="25"/>
      <c r="G215" s="25"/>
      <c r="H215" s="25"/>
      <c r="I215" s="25"/>
      <c r="K215" s="27"/>
      <c r="L215" s="13"/>
      <c r="M215" s="13"/>
    </row>
    <row r="216" spans="1:13" ht="23.25" customHeight="1" x14ac:dyDescent="0.4">
      <c r="A216" s="4" t="str">
        <f>MASTER!$A32</f>
        <v>62-23-65-141 O H</v>
      </c>
      <c r="B216" s="43" t="str">
        <f>MASTER!$B32</f>
        <v>POSTE DE CONCRETO 11MX600KG, DUPLO T,IN-CLUSIVE TRANSPORTE E INSTALA€ÇO</v>
      </c>
      <c r="C216" s="44"/>
      <c r="D216" s="44"/>
      <c r="E216" s="44"/>
      <c r="F216" s="44"/>
      <c r="G216" s="44"/>
      <c r="H216" s="44"/>
      <c r="I216" s="45"/>
      <c r="J216" s="15">
        <f>MASTER!$D32</f>
        <v>1</v>
      </c>
      <c r="K216" s="27" t="str">
        <f>IF(I221&lt;&gt;J216, "ERRO", "OK")</f>
        <v>OK</v>
      </c>
      <c r="L216" s="13"/>
      <c r="M216" s="13"/>
    </row>
    <row r="217" spans="1:13" s="2" customFormat="1" ht="14.25" customHeight="1" x14ac:dyDescent="0.25">
      <c r="A217" s="46" t="s">
        <v>1</v>
      </c>
      <c r="B217" s="46"/>
      <c r="C217" s="18" t="s">
        <v>4</v>
      </c>
      <c r="D217" s="18" t="s">
        <v>2</v>
      </c>
      <c r="E217" s="18" t="s">
        <v>3</v>
      </c>
      <c r="F217" s="18" t="s">
        <v>5</v>
      </c>
      <c r="G217" s="18" t="s">
        <v>11</v>
      </c>
      <c r="H217" s="18" t="s">
        <v>12</v>
      </c>
      <c r="I217" s="18" t="s">
        <v>0</v>
      </c>
      <c r="J217" s="15"/>
      <c r="K217" s="27"/>
      <c r="L217" s="13"/>
      <c r="M217" s="13"/>
    </row>
    <row r="218" spans="1:13" s="2" customFormat="1" ht="14.25" customHeight="1" x14ac:dyDescent="0.25">
      <c r="A218" s="41"/>
      <c r="B218" s="42"/>
      <c r="C218" s="26"/>
      <c r="D218" s="26"/>
      <c r="E218" s="26"/>
      <c r="F218" s="26">
        <v>1</v>
      </c>
      <c r="G218" s="26"/>
      <c r="H218" s="26"/>
      <c r="I218" s="26">
        <f>ROUND(PRODUCT(C218:H218),2)</f>
        <v>1</v>
      </c>
      <c r="J218" s="15"/>
      <c r="K218" s="27"/>
      <c r="L218" s="13"/>
      <c r="M218" s="13"/>
    </row>
    <row r="219" spans="1:13" s="2" customFormat="1" ht="14.25" hidden="1" customHeight="1" x14ac:dyDescent="0.4">
      <c r="A219" s="41"/>
      <c r="B219" s="42"/>
      <c r="C219" s="26"/>
      <c r="D219" s="26"/>
      <c r="E219" s="26"/>
      <c r="F219" s="26"/>
      <c r="G219" s="26"/>
      <c r="H219" s="26"/>
      <c r="I219" s="26">
        <f>ROUND(PRODUCT(C219:H219),2)</f>
        <v>0</v>
      </c>
      <c r="J219" s="15"/>
      <c r="K219" s="28"/>
      <c r="L219" s="13"/>
      <c r="M219" s="13"/>
    </row>
    <row r="220" spans="1:13" ht="15" hidden="1" customHeight="1" x14ac:dyDescent="0.4">
      <c r="A220" s="41"/>
      <c r="B220" s="42"/>
      <c r="C220" s="26"/>
      <c r="D220" s="26"/>
      <c r="E220" s="26"/>
      <c r="F220" s="26"/>
      <c r="G220" s="26"/>
      <c r="H220" s="26"/>
      <c r="I220" s="26">
        <f>ROUND(PRODUCT(C220:H220),2)</f>
        <v>0</v>
      </c>
      <c r="L220" s="13"/>
      <c r="M220" s="13"/>
    </row>
    <row r="221" spans="1:13" ht="15" customHeight="1" x14ac:dyDescent="0.4">
      <c r="A221" s="3"/>
      <c r="B221" s="3"/>
      <c r="C221" s="20"/>
      <c r="D221" s="20"/>
      <c r="E221" s="20"/>
      <c r="F221" s="20"/>
      <c r="G221" s="20"/>
      <c r="H221" s="19" t="str">
        <f>MASTER!$C32</f>
        <v>UN</v>
      </c>
      <c r="I221" s="19">
        <f>ROUND(SUM(I218:I220),2)</f>
        <v>1</v>
      </c>
      <c r="J221" s="16"/>
      <c r="L221" s="13"/>
      <c r="M221" s="13"/>
    </row>
    <row r="222" spans="1:13" ht="15" customHeight="1" x14ac:dyDescent="0.4">
      <c r="A222" s="22"/>
      <c r="B222" s="22"/>
      <c r="C222" s="23"/>
      <c r="D222" s="23"/>
      <c r="E222" s="23"/>
      <c r="F222" s="23"/>
      <c r="G222" s="23"/>
      <c r="H222" s="24"/>
      <c r="I222" s="24"/>
      <c r="J222" s="16"/>
      <c r="L222" s="13"/>
      <c r="M222" s="13"/>
    </row>
    <row r="223" spans="1:13" ht="23.25" customHeight="1" x14ac:dyDescent="0.4">
      <c r="A223" s="4" t="str">
        <f>MASTER!$A33</f>
        <v>63-21-05-027 O H</v>
      </c>
      <c r="B223" s="43" t="str">
        <f>MASTER!$B33</f>
        <v>CAIXA DE PASSAGEM EM ALUMÖNIO 20X20X12CM EMBUTIR - FORNECIMENTO E INSTALA€ÇO</v>
      </c>
      <c r="C223" s="44"/>
      <c r="D223" s="44"/>
      <c r="E223" s="44"/>
      <c r="F223" s="44"/>
      <c r="G223" s="44"/>
      <c r="H223" s="44"/>
      <c r="I223" s="45"/>
      <c r="J223" s="15">
        <f>MASTER!$D33</f>
        <v>4</v>
      </c>
      <c r="K223" s="27" t="str">
        <f>IF(I228&lt;&gt;J223, "ERRO", "OK")</f>
        <v>OK</v>
      </c>
    </row>
    <row r="224" spans="1:13" s="2" customFormat="1" ht="14.25" customHeight="1" x14ac:dyDescent="0.25">
      <c r="A224" s="46" t="s">
        <v>1</v>
      </c>
      <c r="B224" s="46"/>
      <c r="C224" s="18" t="s">
        <v>4</v>
      </c>
      <c r="D224" s="18" t="s">
        <v>2</v>
      </c>
      <c r="E224" s="18" t="s">
        <v>3</v>
      </c>
      <c r="F224" s="18" t="s">
        <v>5</v>
      </c>
      <c r="G224" s="18" t="s">
        <v>11</v>
      </c>
      <c r="H224" s="18" t="s">
        <v>12</v>
      </c>
      <c r="I224" s="18" t="s">
        <v>0</v>
      </c>
      <c r="J224" s="15"/>
      <c r="K224" s="27"/>
    </row>
    <row r="225" spans="1:13" s="2" customFormat="1" ht="14.25" customHeight="1" x14ac:dyDescent="0.25">
      <c r="A225" s="41"/>
      <c r="B225" s="42"/>
      <c r="C225" s="26"/>
      <c r="D225" s="26"/>
      <c r="E225" s="26"/>
      <c r="F225" s="26">
        <v>4</v>
      </c>
      <c r="G225" s="26"/>
      <c r="H225" s="26"/>
      <c r="I225" s="26">
        <f>ROUND(PRODUCT(C225:H225),2)</f>
        <v>4</v>
      </c>
      <c r="J225" s="15"/>
      <c r="K225" s="27"/>
    </row>
    <row r="226" spans="1:13" s="2" customFormat="1" ht="14.25" hidden="1" customHeight="1" x14ac:dyDescent="0.25">
      <c r="A226" s="41"/>
      <c r="B226" s="42"/>
      <c r="C226" s="26"/>
      <c r="D226" s="26"/>
      <c r="E226" s="26"/>
      <c r="F226" s="26"/>
      <c r="G226" s="26"/>
      <c r="H226" s="26"/>
      <c r="I226" s="26">
        <f>ROUND(PRODUCT(C226:H226),2)</f>
        <v>0</v>
      </c>
      <c r="J226" s="15"/>
      <c r="K226" s="27"/>
    </row>
    <row r="227" spans="1:13" ht="15" hidden="1" customHeight="1" x14ac:dyDescent="0.4">
      <c r="A227" s="41"/>
      <c r="B227" s="42"/>
      <c r="C227" s="26"/>
      <c r="D227" s="26"/>
      <c r="E227" s="26"/>
      <c r="F227" s="26"/>
      <c r="G227" s="26"/>
      <c r="H227" s="26"/>
      <c r="I227" s="26">
        <f>ROUND(PRODUCT(C227:H227),2)</f>
        <v>0</v>
      </c>
      <c r="K227" s="27"/>
    </row>
    <row r="228" spans="1:13" ht="15" customHeight="1" x14ac:dyDescent="0.4">
      <c r="A228" s="3"/>
      <c r="B228" s="3"/>
      <c r="C228" s="20"/>
      <c r="D228" s="20"/>
      <c r="E228" s="20"/>
      <c r="F228" s="20"/>
      <c r="G228" s="20"/>
      <c r="H228" s="19" t="str">
        <f>MASTER!$C33</f>
        <v>UN</v>
      </c>
      <c r="I228" s="19">
        <f>ROUND(SUM(I225:I227),2)</f>
        <v>4</v>
      </c>
      <c r="J228" s="16"/>
      <c r="K228" s="27"/>
      <c r="L228" s="13"/>
      <c r="M228" s="13"/>
    </row>
    <row r="229" spans="1:13" ht="15" customHeight="1" x14ac:dyDescent="0.4">
      <c r="A229" s="21"/>
      <c r="B229" s="21"/>
      <c r="C229" s="25"/>
      <c r="D229" s="25"/>
      <c r="E229" s="25"/>
      <c r="F229" s="25"/>
      <c r="G229" s="25"/>
      <c r="H229" s="25"/>
      <c r="I229" s="25"/>
      <c r="K229" s="27"/>
      <c r="L229" s="13"/>
      <c r="M229" s="13"/>
    </row>
    <row r="230" spans="1:13" ht="27" customHeight="1" x14ac:dyDescent="0.4">
      <c r="A230" s="4" t="str">
        <f>MASTER!$A34</f>
        <v>63-21-05-048 O H</v>
      </c>
      <c r="B230" s="43" t="str">
        <f>MASTER!$B34</f>
        <v>DISPOSITIVO DE PROTE€ÇO CONTRA SURTO DETENSÇO DPS 20KA - 275V - CLAMPER OU SIMILAR - FORNECIMENTO E INSTALA€ÇO</v>
      </c>
      <c r="C230" s="44"/>
      <c r="D230" s="44"/>
      <c r="E230" s="44"/>
      <c r="F230" s="44"/>
      <c r="G230" s="44"/>
      <c r="H230" s="44"/>
      <c r="I230" s="45"/>
      <c r="J230" s="15">
        <f>MASTER!$D34</f>
        <v>12</v>
      </c>
      <c r="K230" s="27" t="str">
        <f>IF(I235&lt;&gt;J230, "ERRO", "OK")</f>
        <v>OK</v>
      </c>
      <c r="L230" s="13"/>
      <c r="M230" s="13"/>
    </row>
    <row r="231" spans="1:13" s="2" customFormat="1" ht="14.25" customHeight="1" x14ac:dyDescent="0.25">
      <c r="A231" s="46" t="s">
        <v>1</v>
      </c>
      <c r="B231" s="46"/>
      <c r="C231" s="18" t="s">
        <v>4</v>
      </c>
      <c r="D231" s="18" t="s">
        <v>2</v>
      </c>
      <c r="E231" s="18" t="s">
        <v>3</v>
      </c>
      <c r="F231" s="18" t="s">
        <v>5</v>
      </c>
      <c r="G231" s="18" t="s">
        <v>11</v>
      </c>
      <c r="H231" s="18" t="s">
        <v>12</v>
      </c>
      <c r="I231" s="18" t="s">
        <v>0</v>
      </c>
      <c r="J231" s="15"/>
      <c r="K231" s="27"/>
      <c r="L231" s="13"/>
      <c r="M231" s="13"/>
    </row>
    <row r="232" spans="1:13" s="2" customFormat="1" ht="14.25" customHeight="1" x14ac:dyDescent="0.25">
      <c r="A232" s="41"/>
      <c r="B232" s="42"/>
      <c r="C232" s="26"/>
      <c r="D232" s="26"/>
      <c r="E232" s="26"/>
      <c r="F232" s="26">
        <v>12</v>
      </c>
      <c r="G232" s="26"/>
      <c r="H232" s="26"/>
      <c r="I232" s="26">
        <f>ROUND(PRODUCT(C232:H232),2)</f>
        <v>12</v>
      </c>
      <c r="J232" s="15"/>
      <c r="K232" s="27"/>
      <c r="L232" s="13"/>
      <c r="M232" s="13"/>
    </row>
    <row r="233" spans="1:13" s="2" customFormat="1" ht="14.25" hidden="1" customHeight="1" x14ac:dyDescent="0.4">
      <c r="A233" s="41"/>
      <c r="B233" s="42"/>
      <c r="C233" s="26"/>
      <c r="D233" s="26"/>
      <c r="E233" s="26"/>
      <c r="F233" s="26"/>
      <c r="G233" s="26"/>
      <c r="H233" s="26"/>
      <c r="I233" s="26">
        <f>ROUND(PRODUCT(C233:H233),2)</f>
        <v>0</v>
      </c>
      <c r="J233" s="15"/>
      <c r="K233" s="28"/>
      <c r="L233" s="13"/>
      <c r="M233" s="13"/>
    </row>
    <row r="234" spans="1:13" ht="15" hidden="1" customHeight="1" x14ac:dyDescent="0.4">
      <c r="A234" s="41"/>
      <c r="B234" s="42"/>
      <c r="C234" s="26"/>
      <c r="D234" s="26"/>
      <c r="E234" s="26"/>
      <c r="F234" s="26"/>
      <c r="G234" s="26"/>
      <c r="H234" s="26"/>
      <c r="I234" s="26">
        <f>ROUND(PRODUCT(C234:H234),2)</f>
        <v>0</v>
      </c>
      <c r="L234" s="13"/>
      <c r="M234" s="13"/>
    </row>
    <row r="235" spans="1:13" ht="15" customHeight="1" x14ac:dyDescent="0.4">
      <c r="A235" s="3"/>
      <c r="B235" s="3"/>
      <c r="C235" s="20"/>
      <c r="D235" s="20"/>
      <c r="E235" s="20"/>
      <c r="F235" s="20"/>
      <c r="G235" s="20"/>
      <c r="H235" s="19" t="str">
        <f>MASTER!$C34</f>
        <v>UN</v>
      </c>
      <c r="I235" s="19">
        <f>ROUND(SUM(I232:I234),2)</f>
        <v>12</v>
      </c>
      <c r="J235" s="16"/>
      <c r="K235" s="29"/>
      <c r="L235" s="13"/>
      <c r="M235" s="13"/>
    </row>
    <row r="236" spans="1:13" ht="15" customHeight="1" x14ac:dyDescent="0.4">
      <c r="A236" s="21"/>
      <c r="B236" s="21"/>
      <c r="C236" s="25"/>
      <c r="D236" s="25"/>
      <c r="E236" s="25"/>
      <c r="F236" s="25"/>
      <c r="G236" s="25"/>
      <c r="H236" s="25"/>
      <c r="I236" s="25"/>
    </row>
    <row r="237" spans="1:13" ht="27" customHeight="1" x14ac:dyDescent="0.4">
      <c r="A237" s="4" t="str">
        <f>MASTER!$A35</f>
        <v>62-23-68-040 U H</v>
      </c>
      <c r="B237" s="43" t="str">
        <f>MASTER!$B35</f>
        <v>ETIQUETA ADESIVA COM IDENTIFICA€ÇO DE VOLTAGEM CABO DE REDE E TV, ROTEADOR, SOM, FIOS, CONECTORES E ETC</v>
      </c>
      <c r="C237" s="44"/>
      <c r="D237" s="44"/>
      <c r="E237" s="44"/>
      <c r="F237" s="44"/>
      <c r="G237" s="44"/>
      <c r="H237" s="44"/>
      <c r="I237" s="45"/>
      <c r="J237" s="15">
        <f>MASTER!$D35</f>
        <v>300</v>
      </c>
      <c r="K237" s="27" t="str">
        <f>IF(I242&lt;&gt;J237, "ERRO", "OK")</f>
        <v>OK</v>
      </c>
    </row>
    <row r="238" spans="1:13" s="2" customFormat="1" ht="14.25" customHeight="1" x14ac:dyDescent="0.25">
      <c r="A238" s="46" t="s">
        <v>1</v>
      </c>
      <c r="B238" s="46"/>
      <c r="C238" s="18" t="s">
        <v>4</v>
      </c>
      <c r="D238" s="18" t="s">
        <v>2</v>
      </c>
      <c r="E238" s="18" t="s">
        <v>3</v>
      </c>
      <c r="F238" s="18" t="s">
        <v>5</v>
      </c>
      <c r="G238" s="18" t="s">
        <v>11</v>
      </c>
      <c r="H238" s="18" t="s">
        <v>12</v>
      </c>
      <c r="I238" s="18" t="s">
        <v>0</v>
      </c>
      <c r="J238" s="15"/>
      <c r="K238" s="27"/>
    </row>
    <row r="239" spans="1:13" s="2" customFormat="1" ht="14.25" customHeight="1" x14ac:dyDescent="0.25">
      <c r="A239" s="41"/>
      <c r="B239" s="42"/>
      <c r="C239" s="26"/>
      <c r="D239" s="26"/>
      <c r="E239" s="26"/>
      <c r="F239" s="26">
        <v>300</v>
      </c>
      <c r="G239" s="26"/>
      <c r="H239" s="26"/>
      <c r="I239" s="26">
        <f>ROUND(PRODUCT(C239:H239),2)</f>
        <v>300</v>
      </c>
      <c r="J239" s="15"/>
      <c r="K239" s="27"/>
    </row>
    <row r="240" spans="1:13" s="2" customFormat="1" ht="14.25" hidden="1" customHeight="1" x14ac:dyDescent="0.25">
      <c r="A240" s="41"/>
      <c r="B240" s="42"/>
      <c r="C240" s="26"/>
      <c r="D240" s="26"/>
      <c r="E240" s="26"/>
      <c r="F240" s="26"/>
      <c r="G240" s="26"/>
      <c r="H240" s="26"/>
      <c r="I240" s="26">
        <f>ROUND(PRODUCT(C240:H240),2)</f>
        <v>0</v>
      </c>
      <c r="J240" s="15"/>
      <c r="K240" s="27"/>
    </row>
    <row r="241" spans="1:13" ht="15" hidden="1" customHeight="1" x14ac:dyDescent="0.4">
      <c r="A241" s="41"/>
      <c r="B241" s="42"/>
      <c r="C241" s="26"/>
      <c r="D241" s="26"/>
      <c r="E241" s="26"/>
      <c r="F241" s="26"/>
      <c r="G241" s="26"/>
      <c r="H241" s="26"/>
      <c r="I241" s="26">
        <f>ROUND(PRODUCT(C241:H241),2)</f>
        <v>0</v>
      </c>
      <c r="K241" s="27"/>
    </row>
    <row r="242" spans="1:13" ht="15" customHeight="1" x14ac:dyDescent="0.4">
      <c r="A242" s="3"/>
      <c r="B242" s="3"/>
      <c r="C242" s="20"/>
      <c r="D242" s="20"/>
      <c r="E242" s="20"/>
      <c r="F242" s="20"/>
      <c r="G242" s="20"/>
      <c r="H242" s="19" t="str">
        <f>MASTER!$C35</f>
        <v>UN</v>
      </c>
      <c r="I242" s="19">
        <f>ROUND(SUM(I239:I241),2)</f>
        <v>300</v>
      </c>
      <c r="J242" s="16"/>
      <c r="K242" s="27"/>
      <c r="L242" s="13"/>
      <c r="M242" s="13"/>
    </row>
    <row r="243" spans="1:13" ht="15" customHeight="1" x14ac:dyDescent="0.4">
      <c r="A243" s="21"/>
      <c r="B243" s="21"/>
      <c r="C243" s="25"/>
      <c r="D243" s="25"/>
      <c r="E243" s="25"/>
      <c r="F243" s="25"/>
      <c r="G243" s="25"/>
      <c r="H243" s="25"/>
      <c r="I243" s="25"/>
      <c r="K243" s="27"/>
      <c r="L243" s="13"/>
      <c r="M243" s="13"/>
    </row>
    <row r="244" spans="1:13" ht="23.25" customHeight="1" x14ac:dyDescent="0.4">
      <c r="A244" s="4" t="str">
        <f>MASTER!$A36</f>
        <v>62-23-65-094 O H</v>
      </c>
      <c r="B244" s="43" t="str">
        <f>MASTER!$B36</f>
        <v>PLACA DE SINALIZA€ÇO DE RISCO DE CHOQUEELTRICO PARA SUBESTA€ÇO - FORNECIMENTO E INSTALA€ÇO</v>
      </c>
      <c r="C244" s="44"/>
      <c r="D244" s="44"/>
      <c r="E244" s="44"/>
      <c r="F244" s="44"/>
      <c r="G244" s="44"/>
      <c r="H244" s="44"/>
      <c r="I244" s="45"/>
      <c r="J244" s="15">
        <f>MASTER!$D36</f>
        <v>2</v>
      </c>
      <c r="K244" s="27" t="str">
        <f>IF(I249&lt;&gt;J244, "ERRO", "OK")</f>
        <v>OK</v>
      </c>
      <c r="L244" s="13"/>
      <c r="M244" s="13"/>
    </row>
    <row r="245" spans="1:13" s="2" customFormat="1" ht="14.25" customHeight="1" x14ac:dyDescent="0.25">
      <c r="A245" s="46" t="s">
        <v>1</v>
      </c>
      <c r="B245" s="46"/>
      <c r="C245" s="18" t="s">
        <v>4</v>
      </c>
      <c r="D245" s="18" t="s">
        <v>2</v>
      </c>
      <c r="E245" s="18" t="s">
        <v>3</v>
      </c>
      <c r="F245" s="18" t="s">
        <v>5</v>
      </c>
      <c r="G245" s="18" t="s">
        <v>11</v>
      </c>
      <c r="H245" s="18" t="s">
        <v>12</v>
      </c>
      <c r="I245" s="18" t="s">
        <v>0</v>
      </c>
      <c r="J245" s="15"/>
      <c r="K245" s="27"/>
      <c r="L245" s="13"/>
      <c r="M245" s="13"/>
    </row>
    <row r="246" spans="1:13" s="2" customFormat="1" ht="14.25" customHeight="1" x14ac:dyDescent="0.25">
      <c r="A246" s="41"/>
      <c r="B246" s="42"/>
      <c r="C246" s="26"/>
      <c r="D246" s="26"/>
      <c r="E246" s="26"/>
      <c r="F246" s="26">
        <v>2</v>
      </c>
      <c r="G246" s="26"/>
      <c r="H246" s="26"/>
      <c r="I246" s="26">
        <f>ROUND(PRODUCT(C246:H246),2)</f>
        <v>2</v>
      </c>
      <c r="J246" s="15"/>
      <c r="K246" s="27"/>
      <c r="L246" s="13"/>
      <c r="M246" s="13"/>
    </row>
    <row r="247" spans="1:13" s="2" customFormat="1" ht="14.25" hidden="1" customHeight="1" x14ac:dyDescent="0.4">
      <c r="A247" s="41"/>
      <c r="B247" s="42"/>
      <c r="C247" s="26"/>
      <c r="D247" s="26"/>
      <c r="E247" s="26"/>
      <c r="F247" s="26"/>
      <c r="G247" s="26"/>
      <c r="H247" s="26"/>
      <c r="I247" s="26">
        <f>ROUND(PRODUCT(C247:H247),2)</f>
        <v>0</v>
      </c>
      <c r="J247" s="15"/>
      <c r="K247" s="28"/>
      <c r="L247" s="13"/>
      <c r="M247" s="13"/>
    </row>
    <row r="248" spans="1:13" ht="15" hidden="1" customHeight="1" x14ac:dyDescent="0.4">
      <c r="A248" s="41"/>
      <c r="B248" s="42"/>
      <c r="C248" s="26"/>
      <c r="D248" s="26"/>
      <c r="E248" s="26"/>
      <c r="F248" s="26"/>
      <c r="G248" s="26"/>
      <c r="H248" s="26"/>
      <c r="I248" s="26">
        <f>ROUND(PRODUCT(C248:H248),2)</f>
        <v>0</v>
      </c>
      <c r="L248" s="13"/>
      <c r="M248" s="13"/>
    </row>
    <row r="249" spans="1:13" ht="15" customHeight="1" x14ac:dyDescent="0.4">
      <c r="A249" s="3"/>
      <c r="B249" s="3"/>
      <c r="C249" s="20"/>
      <c r="D249" s="20"/>
      <c r="E249" s="20"/>
      <c r="F249" s="20"/>
      <c r="G249" s="20"/>
      <c r="H249" s="19" t="str">
        <f>MASTER!$C36</f>
        <v>UN</v>
      </c>
      <c r="I249" s="19">
        <f>ROUND(SUM(I246:I248),2)</f>
        <v>2</v>
      </c>
      <c r="J249" s="16"/>
      <c r="K249" s="29"/>
      <c r="L249" s="13"/>
      <c r="M249" s="13"/>
    </row>
    <row r="250" spans="1:13" ht="15" customHeight="1" x14ac:dyDescent="0.4">
      <c r="A250" s="21"/>
      <c r="B250" s="21"/>
      <c r="C250" s="25"/>
      <c r="D250" s="25"/>
      <c r="E250" s="25"/>
      <c r="F250" s="25"/>
      <c r="G250" s="25"/>
      <c r="H250" s="25"/>
      <c r="I250" s="25"/>
    </row>
    <row r="251" spans="1:13" ht="23.25" customHeight="1" x14ac:dyDescent="0.4">
      <c r="A251" s="40" t="str">
        <f>MASTER!$A37</f>
        <v>001-005</v>
      </c>
      <c r="B251" s="47" t="str">
        <f>MASTER!$B37</f>
        <v>COMPLEMENTO - GUARITA</v>
      </c>
      <c r="C251" s="48"/>
      <c r="D251" s="48"/>
      <c r="E251" s="48"/>
      <c r="F251" s="48"/>
      <c r="G251" s="48"/>
      <c r="H251" s="48"/>
      <c r="I251" s="49"/>
      <c r="J251" s="15">
        <f>MASTER!$D37</f>
        <v>0</v>
      </c>
      <c r="K251" s="27" t="str">
        <f>IF(I256&lt;&gt;J251, "ERRO", "OK")</f>
        <v>OK</v>
      </c>
    </row>
    <row r="252" spans="1:13" s="2" customFormat="1" ht="14.25" hidden="1" customHeight="1" x14ac:dyDescent="0.25">
      <c r="A252" s="46" t="s">
        <v>1</v>
      </c>
      <c r="B252" s="46"/>
      <c r="C252" s="18" t="s">
        <v>4</v>
      </c>
      <c r="D252" s="18" t="s">
        <v>2</v>
      </c>
      <c r="E252" s="18" t="s">
        <v>3</v>
      </c>
      <c r="F252" s="18" t="s">
        <v>5</v>
      </c>
      <c r="G252" s="18" t="s">
        <v>11</v>
      </c>
      <c r="H252" s="18" t="s">
        <v>12</v>
      </c>
      <c r="I252" s="18" t="s">
        <v>0</v>
      </c>
      <c r="J252" s="15"/>
      <c r="K252" s="27"/>
    </row>
    <row r="253" spans="1:13" s="2" customFormat="1" ht="14.25" hidden="1" customHeight="1" x14ac:dyDescent="0.25">
      <c r="A253" s="41"/>
      <c r="B253" s="42"/>
      <c r="C253" s="26"/>
      <c r="D253" s="26"/>
      <c r="E253" s="26"/>
      <c r="F253" s="26"/>
      <c r="G253" s="26"/>
      <c r="H253" s="26"/>
      <c r="I253" s="26">
        <f>ROUND(PRODUCT(C253:H253),2)</f>
        <v>0</v>
      </c>
      <c r="J253" s="15"/>
      <c r="K253" s="27"/>
    </row>
    <row r="254" spans="1:13" s="2" customFormat="1" ht="14.25" hidden="1" customHeight="1" x14ac:dyDescent="0.25">
      <c r="A254" s="41"/>
      <c r="B254" s="42"/>
      <c r="C254" s="26"/>
      <c r="D254" s="26"/>
      <c r="E254" s="26"/>
      <c r="F254" s="26"/>
      <c r="G254" s="26"/>
      <c r="H254" s="26"/>
      <c r="I254" s="26">
        <f>ROUND(PRODUCT(C254:H254),2)</f>
        <v>0</v>
      </c>
      <c r="J254" s="15"/>
      <c r="K254" s="27"/>
    </row>
    <row r="255" spans="1:13" ht="15" hidden="1" customHeight="1" x14ac:dyDescent="0.4">
      <c r="A255" s="41"/>
      <c r="B255" s="42"/>
      <c r="C255" s="26"/>
      <c r="D255" s="26"/>
      <c r="E255" s="26"/>
      <c r="F255" s="26"/>
      <c r="G255" s="26"/>
      <c r="H255" s="26"/>
      <c r="I255" s="26">
        <f>ROUND(PRODUCT(C255:H255),2)</f>
        <v>0</v>
      </c>
      <c r="K255" s="27"/>
    </row>
    <row r="256" spans="1:13" ht="15" hidden="1" customHeight="1" x14ac:dyDescent="0.4">
      <c r="A256" s="3"/>
      <c r="B256" s="3"/>
      <c r="C256" s="20"/>
      <c r="D256" s="20"/>
      <c r="E256" s="20"/>
      <c r="F256" s="20"/>
      <c r="G256" s="20"/>
      <c r="H256" s="19">
        <f>MASTER!$C37</f>
        <v>0</v>
      </c>
      <c r="I256" s="19">
        <f>ROUND(SUM(I253:I255),2)</f>
        <v>0</v>
      </c>
      <c r="J256" s="16"/>
      <c r="K256" s="27"/>
      <c r="L256" s="13"/>
      <c r="M256" s="13"/>
    </row>
    <row r="257" spans="1:13" ht="15" hidden="1" customHeight="1" x14ac:dyDescent="0.4">
      <c r="A257" s="21"/>
      <c r="B257" s="21"/>
      <c r="C257" s="25"/>
      <c r="D257" s="25"/>
      <c r="E257" s="25"/>
      <c r="F257" s="25"/>
      <c r="G257" s="25"/>
      <c r="H257" s="25"/>
      <c r="I257" s="25"/>
      <c r="K257" s="27"/>
      <c r="L257" s="13"/>
      <c r="M257" s="13"/>
    </row>
    <row r="258" spans="1:13" ht="23.25" customHeight="1" x14ac:dyDescent="0.4">
      <c r="A258" s="4" t="str">
        <f>MASTER!$A38</f>
        <v>01-22-01-020 C H</v>
      </c>
      <c r="B258" s="43" t="str">
        <f>MASTER!$B38</f>
        <v>REMO€ÇO DE FORRO DE GESSO, DE FORMA MANUAL, SEM REAPROVEITAMENTO. AF_09/2023 CS: 97641</v>
      </c>
      <c r="C258" s="44"/>
      <c r="D258" s="44"/>
      <c r="E258" s="44"/>
      <c r="F258" s="44"/>
      <c r="G258" s="44"/>
      <c r="H258" s="44"/>
      <c r="I258" s="45"/>
      <c r="J258" s="15">
        <f>MASTER!$D38</f>
        <v>16</v>
      </c>
      <c r="K258" s="27" t="str">
        <f>IF(I263&lt;&gt;J258, "ERRO", "OK")</f>
        <v>OK</v>
      </c>
      <c r="L258" s="13"/>
      <c r="M258" s="13"/>
    </row>
    <row r="259" spans="1:13" s="2" customFormat="1" ht="14.25" customHeight="1" x14ac:dyDescent="0.25">
      <c r="A259" s="46" t="s">
        <v>1</v>
      </c>
      <c r="B259" s="46"/>
      <c r="C259" s="18" t="s">
        <v>4</v>
      </c>
      <c r="D259" s="18" t="s">
        <v>2</v>
      </c>
      <c r="E259" s="18" t="s">
        <v>3</v>
      </c>
      <c r="F259" s="18" t="s">
        <v>5</v>
      </c>
      <c r="G259" s="18" t="s">
        <v>11</v>
      </c>
      <c r="H259" s="18" t="s">
        <v>12</v>
      </c>
      <c r="I259" s="18" t="s">
        <v>0</v>
      </c>
      <c r="J259" s="15"/>
      <c r="K259" s="27"/>
      <c r="L259" s="13"/>
      <c r="M259" s="13"/>
    </row>
    <row r="260" spans="1:13" s="2" customFormat="1" ht="14.25" customHeight="1" x14ac:dyDescent="0.25">
      <c r="A260" s="41"/>
      <c r="B260" s="42"/>
      <c r="C260" s="26"/>
      <c r="D260" s="26"/>
      <c r="E260" s="26"/>
      <c r="F260" s="26">
        <v>16</v>
      </c>
      <c r="G260" s="26"/>
      <c r="H260" s="26"/>
      <c r="I260" s="26">
        <f>ROUND(PRODUCT(C260:H260),2)</f>
        <v>16</v>
      </c>
      <c r="J260" s="15"/>
      <c r="K260" s="27"/>
      <c r="L260" s="13"/>
      <c r="M260" s="13"/>
    </row>
    <row r="261" spans="1:13" s="2" customFormat="1" ht="14.25" hidden="1" customHeight="1" x14ac:dyDescent="0.4">
      <c r="A261" s="41"/>
      <c r="B261" s="42"/>
      <c r="C261" s="26"/>
      <c r="D261" s="26"/>
      <c r="E261" s="26"/>
      <c r="F261" s="26"/>
      <c r="G261" s="26"/>
      <c r="H261" s="26"/>
      <c r="I261" s="26">
        <f>ROUND(PRODUCT(C261:H261),2)</f>
        <v>0</v>
      </c>
      <c r="J261" s="15"/>
      <c r="K261" s="28"/>
      <c r="L261" s="13"/>
      <c r="M261" s="13"/>
    </row>
    <row r="262" spans="1:13" ht="15" hidden="1" customHeight="1" x14ac:dyDescent="0.4">
      <c r="A262" s="41"/>
      <c r="B262" s="42"/>
      <c r="C262" s="26"/>
      <c r="D262" s="26"/>
      <c r="E262" s="26"/>
      <c r="F262" s="26"/>
      <c r="G262" s="26"/>
      <c r="H262" s="26"/>
      <c r="I262" s="26">
        <f>ROUND(PRODUCT(C262:H262),2)</f>
        <v>0</v>
      </c>
      <c r="L262" s="13"/>
      <c r="M262" s="13"/>
    </row>
    <row r="263" spans="1:13" ht="15" customHeight="1" x14ac:dyDescent="0.4">
      <c r="A263" s="3"/>
      <c r="B263" s="3"/>
      <c r="C263" s="20"/>
      <c r="D263" s="20"/>
      <c r="E263" s="20"/>
      <c r="F263" s="20"/>
      <c r="G263" s="20"/>
      <c r="H263" s="19" t="str">
        <f>MASTER!$C38</f>
        <v>M2</v>
      </c>
      <c r="I263" s="19">
        <f>ROUND(SUM(I260:I262),2)</f>
        <v>16</v>
      </c>
      <c r="J263" s="16"/>
      <c r="K263" s="29"/>
      <c r="L263" s="13"/>
      <c r="M263" s="13"/>
    </row>
    <row r="264" spans="1:13" ht="15" customHeight="1" x14ac:dyDescent="0.4">
      <c r="A264" s="21"/>
      <c r="B264" s="21"/>
      <c r="C264" s="25"/>
      <c r="D264" s="25"/>
      <c r="E264" s="25"/>
      <c r="F264" s="25"/>
      <c r="G264" s="25"/>
      <c r="H264" s="25"/>
      <c r="I264" s="25"/>
    </row>
    <row r="265" spans="1:13" ht="23.25" customHeight="1" x14ac:dyDescent="0.4">
      <c r="A265" s="4" t="str">
        <f>MASTER!$A39</f>
        <v>01-19-11-002 C H</v>
      </c>
      <c r="B265" s="43" t="str">
        <f>MASTER!$B39</f>
        <v>RODAP EM MARMORITE, ALTURA 10CM. AF_09/2020 CS: 101741</v>
      </c>
      <c r="C265" s="44"/>
      <c r="D265" s="44"/>
      <c r="E265" s="44"/>
      <c r="F265" s="44"/>
      <c r="G265" s="44"/>
      <c r="H265" s="44"/>
      <c r="I265" s="45"/>
      <c r="J265" s="15">
        <f>MASTER!$D39</f>
        <v>15</v>
      </c>
      <c r="K265" s="27" t="str">
        <f>IF(I270&lt;&gt;J265, "ERRO", "OK")</f>
        <v>OK</v>
      </c>
    </row>
    <row r="266" spans="1:13" s="2" customFormat="1" ht="14.25" customHeight="1" x14ac:dyDescent="0.25">
      <c r="A266" s="46" t="s">
        <v>1</v>
      </c>
      <c r="B266" s="46"/>
      <c r="C266" s="18" t="s">
        <v>4</v>
      </c>
      <c r="D266" s="18" t="s">
        <v>2</v>
      </c>
      <c r="E266" s="18" t="s">
        <v>3</v>
      </c>
      <c r="F266" s="18" t="s">
        <v>5</v>
      </c>
      <c r="G266" s="18" t="s">
        <v>11</v>
      </c>
      <c r="H266" s="18" t="s">
        <v>12</v>
      </c>
      <c r="I266" s="18" t="s">
        <v>0</v>
      </c>
      <c r="J266" s="15"/>
      <c r="K266" s="27"/>
    </row>
    <row r="267" spans="1:13" s="2" customFormat="1" ht="14.25" customHeight="1" x14ac:dyDescent="0.25">
      <c r="A267" s="41"/>
      <c r="B267" s="42"/>
      <c r="C267" s="26"/>
      <c r="D267" s="26"/>
      <c r="E267" s="26"/>
      <c r="F267" s="26">
        <v>15</v>
      </c>
      <c r="G267" s="26"/>
      <c r="H267" s="26"/>
      <c r="I267" s="26">
        <f>ROUND(PRODUCT(C267:H267),2)</f>
        <v>15</v>
      </c>
      <c r="J267" s="15"/>
      <c r="K267" s="27"/>
    </row>
    <row r="268" spans="1:13" s="2" customFormat="1" ht="14.25" hidden="1" customHeight="1" x14ac:dyDescent="0.25">
      <c r="A268" s="41"/>
      <c r="B268" s="42"/>
      <c r="C268" s="26"/>
      <c r="D268" s="26"/>
      <c r="E268" s="26"/>
      <c r="F268" s="26"/>
      <c r="G268" s="26"/>
      <c r="H268" s="26"/>
      <c r="I268" s="26">
        <f>ROUND(PRODUCT(C268:H268),2)</f>
        <v>0</v>
      </c>
      <c r="J268" s="15"/>
      <c r="K268" s="27"/>
    </row>
    <row r="269" spans="1:13" ht="15" hidden="1" customHeight="1" x14ac:dyDescent="0.4">
      <c r="A269" s="41"/>
      <c r="B269" s="42"/>
      <c r="C269" s="26"/>
      <c r="D269" s="26"/>
      <c r="E269" s="26"/>
      <c r="F269" s="26"/>
      <c r="G269" s="26"/>
      <c r="H269" s="26"/>
      <c r="I269" s="26">
        <f>ROUND(PRODUCT(C269:H269),2)</f>
        <v>0</v>
      </c>
      <c r="K269" s="27"/>
    </row>
    <row r="270" spans="1:13" ht="15" customHeight="1" x14ac:dyDescent="0.4">
      <c r="A270" s="3"/>
      <c r="B270" s="3"/>
      <c r="C270" s="20"/>
      <c r="D270" s="20"/>
      <c r="E270" s="20"/>
      <c r="F270" s="20"/>
      <c r="G270" s="20"/>
      <c r="H270" s="19" t="str">
        <f>MASTER!$C39</f>
        <v>M</v>
      </c>
      <c r="I270" s="19">
        <f>ROUND(SUM(I267:I269),2)</f>
        <v>15</v>
      </c>
      <c r="J270" s="16"/>
      <c r="K270" s="27"/>
      <c r="L270" s="13"/>
      <c r="M270" s="13"/>
    </row>
    <row r="271" spans="1:13" ht="15" customHeight="1" x14ac:dyDescent="0.4">
      <c r="A271" s="22"/>
      <c r="B271" s="22"/>
      <c r="C271" s="23"/>
      <c r="D271" s="23"/>
      <c r="E271" s="23"/>
      <c r="F271" s="23"/>
      <c r="G271" s="23"/>
      <c r="H271" s="24"/>
      <c r="I271" s="24"/>
      <c r="J271" s="16"/>
      <c r="K271" s="27"/>
      <c r="L271" s="13"/>
      <c r="M271" s="13"/>
    </row>
    <row r="272" spans="1:13" ht="23.25" customHeight="1" x14ac:dyDescent="0.4">
      <c r="A272" s="40" t="str">
        <f>MASTER!$A40</f>
        <v>001-006</v>
      </c>
      <c r="B272" s="47" t="str">
        <f>MASTER!$B40</f>
        <v>ACABAMENTO</v>
      </c>
      <c r="C272" s="48"/>
      <c r="D272" s="48"/>
      <c r="E272" s="48"/>
      <c r="F272" s="48"/>
      <c r="G272" s="48"/>
      <c r="H272" s="48"/>
      <c r="I272" s="49"/>
      <c r="J272" s="15">
        <f>MASTER!$D40</f>
        <v>0</v>
      </c>
      <c r="K272" s="27" t="str">
        <f>IF(I277&lt;&gt;J272, "ERRO", "OK")</f>
        <v>OK</v>
      </c>
      <c r="L272" s="13"/>
      <c r="M272" s="13"/>
    </row>
    <row r="273" spans="1:13" s="2" customFormat="1" ht="14.25" hidden="1" customHeight="1" x14ac:dyDescent="0.25">
      <c r="A273" s="46" t="s">
        <v>1</v>
      </c>
      <c r="B273" s="46"/>
      <c r="C273" s="18" t="s">
        <v>4</v>
      </c>
      <c r="D273" s="18" t="s">
        <v>2</v>
      </c>
      <c r="E273" s="18" t="s">
        <v>3</v>
      </c>
      <c r="F273" s="18" t="s">
        <v>5</v>
      </c>
      <c r="G273" s="18" t="s">
        <v>11</v>
      </c>
      <c r="H273" s="18" t="s">
        <v>12</v>
      </c>
      <c r="I273" s="18" t="s">
        <v>0</v>
      </c>
      <c r="J273" s="15"/>
      <c r="K273" s="27"/>
      <c r="L273" s="13"/>
      <c r="M273" s="13"/>
    </row>
    <row r="274" spans="1:13" s="2" customFormat="1" ht="14.25" hidden="1" customHeight="1" x14ac:dyDescent="0.25">
      <c r="A274" s="41"/>
      <c r="B274" s="42"/>
      <c r="C274" s="26"/>
      <c r="D274" s="26"/>
      <c r="E274" s="26"/>
      <c r="F274" s="26"/>
      <c r="G274" s="26"/>
      <c r="H274" s="26"/>
      <c r="I274" s="26">
        <f>ROUND(PRODUCT(C274:H274),2)</f>
        <v>0</v>
      </c>
      <c r="J274" s="15"/>
      <c r="K274" s="27"/>
      <c r="L274" s="13"/>
      <c r="M274" s="13"/>
    </row>
    <row r="275" spans="1:13" s="2" customFormat="1" ht="14.25" hidden="1" customHeight="1" x14ac:dyDescent="0.4">
      <c r="A275" s="41"/>
      <c r="B275" s="42"/>
      <c r="C275" s="26"/>
      <c r="D275" s="26"/>
      <c r="E275" s="26"/>
      <c r="F275" s="26"/>
      <c r="G275" s="26"/>
      <c r="H275" s="26"/>
      <c r="I275" s="26">
        <f>ROUND(PRODUCT(C275:H275),2)</f>
        <v>0</v>
      </c>
      <c r="J275" s="15"/>
      <c r="K275" s="28"/>
      <c r="L275" s="13"/>
      <c r="M275" s="13"/>
    </row>
    <row r="276" spans="1:13" ht="15" hidden="1" customHeight="1" x14ac:dyDescent="0.4">
      <c r="A276" s="41"/>
      <c r="B276" s="42"/>
      <c r="C276" s="26"/>
      <c r="D276" s="26"/>
      <c r="E276" s="26"/>
      <c r="F276" s="26"/>
      <c r="G276" s="26"/>
      <c r="H276" s="26"/>
      <c r="I276" s="26">
        <f>ROUND(PRODUCT(C276:H276),2)</f>
        <v>0</v>
      </c>
      <c r="L276" s="13"/>
      <c r="M276" s="13"/>
    </row>
    <row r="277" spans="1:13" ht="15" hidden="1" customHeight="1" x14ac:dyDescent="0.4">
      <c r="A277" s="3"/>
      <c r="B277" s="3"/>
      <c r="C277" s="20"/>
      <c r="D277" s="20"/>
      <c r="E277" s="20"/>
      <c r="F277" s="20"/>
      <c r="G277" s="20"/>
      <c r="H277" s="19">
        <f>MASTER!$C40</f>
        <v>0</v>
      </c>
      <c r="I277" s="19">
        <f>ROUND(SUM(I274:I276),2)</f>
        <v>0</v>
      </c>
      <c r="J277" s="16"/>
      <c r="K277" s="29"/>
      <c r="L277" s="13"/>
      <c r="M277" s="13"/>
    </row>
    <row r="278" spans="1:13" ht="15" hidden="1" customHeight="1" x14ac:dyDescent="0.4">
      <c r="A278" s="21"/>
      <c r="B278" s="21"/>
      <c r="C278" s="25"/>
      <c r="D278" s="25"/>
      <c r="E278" s="25"/>
      <c r="F278" s="25"/>
      <c r="G278" s="25"/>
      <c r="H278" s="25"/>
      <c r="I278" s="25"/>
    </row>
    <row r="279" spans="1:13" ht="27" customHeight="1" x14ac:dyDescent="0.4">
      <c r="A279" s="4" t="str">
        <f>MASTER!$A41</f>
        <v>63-19-01-303 O H</v>
      </c>
      <c r="B279" s="43" t="str">
        <f>MASTER!$B41</f>
        <v>FORRO ACéSTICO DE FIBRA MINERAL REMOVÖVEL, MODULA€ÇO 625 X 1250MM,APOIADO EM PERFIS METµLICOS TIPO T SUSPENSOS POR PERFIS RÖGIDOS,E=15MM</v>
      </c>
      <c r="C279" s="44"/>
      <c r="D279" s="44"/>
      <c r="E279" s="44"/>
      <c r="F279" s="44"/>
      <c r="G279" s="44"/>
      <c r="H279" s="44"/>
      <c r="I279" s="45"/>
      <c r="J279" s="15">
        <f>MASTER!$D41</f>
        <v>22</v>
      </c>
      <c r="K279" s="27" t="str">
        <f>IF(I284&lt;&gt;J279, "ERRO", "OK")</f>
        <v>OK</v>
      </c>
    </row>
    <row r="280" spans="1:13" s="2" customFormat="1" ht="14.25" customHeight="1" x14ac:dyDescent="0.25">
      <c r="A280" s="46" t="s">
        <v>1</v>
      </c>
      <c r="B280" s="46"/>
      <c r="C280" s="18" t="s">
        <v>4</v>
      </c>
      <c r="D280" s="18" t="s">
        <v>2</v>
      </c>
      <c r="E280" s="18" t="s">
        <v>3</v>
      </c>
      <c r="F280" s="18" t="s">
        <v>5</v>
      </c>
      <c r="G280" s="18" t="s">
        <v>11</v>
      </c>
      <c r="H280" s="18" t="s">
        <v>12</v>
      </c>
      <c r="I280" s="18" t="s">
        <v>0</v>
      </c>
      <c r="J280" s="15"/>
      <c r="K280" s="27"/>
    </row>
    <row r="281" spans="1:13" s="2" customFormat="1" ht="14.25" customHeight="1" x14ac:dyDescent="0.25">
      <c r="A281" s="41"/>
      <c r="B281" s="42"/>
      <c r="C281" s="26"/>
      <c r="D281" s="26"/>
      <c r="E281" s="26"/>
      <c r="F281" s="26">
        <v>22</v>
      </c>
      <c r="G281" s="26"/>
      <c r="H281" s="26"/>
      <c r="I281" s="26">
        <f>ROUND(PRODUCT(C281:H281),2)</f>
        <v>22</v>
      </c>
      <c r="J281" s="15"/>
      <c r="K281" s="27"/>
    </row>
    <row r="282" spans="1:13" s="2" customFormat="1" ht="14.25" hidden="1" customHeight="1" x14ac:dyDescent="0.25">
      <c r="A282" s="41"/>
      <c r="B282" s="42"/>
      <c r="C282" s="26"/>
      <c r="D282" s="26"/>
      <c r="E282" s="26"/>
      <c r="F282" s="26"/>
      <c r="G282" s="26"/>
      <c r="H282" s="26"/>
      <c r="I282" s="26">
        <f>ROUND(PRODUCT(C282:H282),2)</f>
        <v>0</v>
      </c>
      <c r="J282" s="15"/>
      <c r="K282" s="27"/>
    </row>
    <row r="283" spans="1:13" ht="15" hidden="1" customHeight="1" x14ac:dyDescent="0.4">
      <c r="A283" s="41"/>
      <c r="B283" s="42"/>
      <c r="C283" s="26"/>
      <c r="D283" s="26"/>
      <c r="E283" s="26"/>
      <c r="F283" s="26"/>
      <c r="G283" s="26"/>
      <c r="H283" s="26"/>
      <c r="I283" s="26">
        <f>ROUND(PRODUCT(C283:H283),2)</f>
        <v>0</v>
      </c>
      <c r="K283" s="27"/>
    </row>
    <row r="284" spans="1:13" ht="15" customHeight="1" x14ac:dyDescent="0.4">
      <c r="A284" s="3"/>
      <c r="B284" s="3"/>
      <c r="C284" s="20"/>
      <c r="D284" s="20"/>
      <c r="E284" s="20"/>
      <c r="F284" s="20"/>
      <c r="G284" s="20"/>
      <c r="H284" s="19" t="str">
        <f>MASTER!$C41</f>
        <v>M2</v>
      </c>
      <c r="I284" s="19">
        <f>ROUND(SUM(I281:I283),2)</f>
        <v>22</v>
      </c>
      <c r="J284" s="16"/>
      <c r="K284" s="27"/>
      <c r="L284" s="13"/>
      <c r="M284" s="13"/>
    </row>
    <row r="285" spans="1:13" ht="15" customHeight="1" x14ac:dyDescent="0.4">
      <c r="A285" s="22"/>
      <c r="B285" s="22"/>
      <c r="C285" s="23"/>
      <c r="D285" s="23"/>
      <c r="E285" s="23"/>
      <c r="F285" s="23"/>
      <c r="G285" s="23"/>
      <c r="H285" s="24"/>
      <c r="I285" s="24"/>
      <c r="J285" s="16"/>
      <c r="K285" s="27"/>
      <c r="L285" s="13"/>
      <c r="M285" s="13"/>
    </row>
    <row r="286" spans="1:13" ht="27" customHeight="1" x14ac:dyDescent="0.4">
      <c r="A286" s="4" t="str">
        <f>MASTER!$A42</f>
        <v>64-23-74-016 O H</v>
      </c>
      <c r="B286" s="43" t="str">
        <f>MASTER!$B42</f>
        <v>RODAP EM POLIESTIRENO BRANCO 2,40M, H=10CM SANTA LUZIA OU EQUIVALENTE TCNICO - FORNECIMENTO E INSTALA€ÇO</v>
      </c>
      <c r="C286" s="44"/>
      <c r="D286" s="44"/>
      <c r="E286" s="44"/>
      <c r="F286" s="44"/>
      <c r="G286" s="44"/>
      <c r="H286" s="44"/>
      <c r="I286" s="45"/>
      <c r="J286" s="15">
        <f>MASTER!$D42</f>
        <v>18</v>
      </c>
      <c r="K286" s="27" t="str">
        <f>IF(I291&lt;&gt;J286, "ERRO", "OK")</f>
        <v>OK</v>
      </c>
      <c r="L286" s="13"/>
      <c r="M286" s="13"/>
    </row>
    <row r="287" spans="1:13" s="2" customFormat="1" ht="14.25" customHeight="1" x14ac:dyDescent="0.25">
      <c r="A287" s="46" t="s">
        <v>1</v>
      </c>
      <c r="B287" s="46"/>
      <c r="C287" s="18" t="s">
        <v>4</v>
      </c>
      <c r="D287" s="18" t="s">
        <v>2</v>
      </c>
      <c r="E287" s="18" t="s">
        <v>3</v>
      </c>
      <c r="F287" s="18" t="s">
        <v>5</v>
      </c>
      <c r="G287" s="18" t="s">
        <v>11</v>
      </c>
      <c r="H287" s="18" t="s">
        <v>12</v>
      </c>
      <c r="I287" s="18" t="s">
        <v>0</v>
      </c>
      <c r="J287" s="15"/>
      <c r="K287" s="27"/>
      <c r="L287" s="13"/>
      <c r="M287" s="13"/>
    </row>
    <row r="288" spans="1:13" s="2" customFormat="1" ht="14.25" customHeight="1" x14ac:dyDescent="0.25">
      <c r="A288" s="41"/>
      <c r="B288" s="42"/>
      <c r="C288" s="26"/>
      <c r="D288" s="26"/>
      <c r="E288" s="26"/>
      <c r="F288" s="26">
        <v>18</v>
      </c>
      <c r="G288" s="26"/>
      <c r="H288" s="26"/>
      <c r="I288" s="26">
        <f>ROUND(PRODUCT(C288:H288),2)</f>
        <v>18</v>
      </c>
      <c r="J288" s="15"/>
      <c r="K288" s="27"/>
      <c r="L288" s="13"/>
      <c r="M288" s="13"/>
    </row>
    <row r="289" spans="1:13" s="2" customFormat="1" ht="14.25" hidden="1" customHeight="1" x14ac:dyDescent="0.4">
      <c r="A289" s="41"/>
      <c r="B289" s="42"/>
      <c r="C289" s="26"/>
      <c r="D289" s="26"/>
      <c r="E289" s="26"/>
      <c r="F289" s="26"/>
      <c r="G289" s="26"/>
      <c r="H289" s="26"/>
      <c r="I289" s="26">
        <f>ROUND(PRODUCT(C289:H289),2)</f>
        <v>0</v>
      </c>
      <c r="J289" s="15"/>
      <c r="K289" s="28"/>
      <c r="L289" s="13"/>
      <c r="M289" s="13"/>
    </row>
    <row r="290" spans="1:13" ht="15" hidden="1" customHeight="1" x14ac:dyDescent="0.4">
      <c r="A290" s="41"/>
      <c r="B290" s="42"/>
      <c r="C290" s="26"/>
      <c r="D290" s="26"/>
      <c r="E290" s="26"/>
      <c r="F290" s="26"/>
      <c r="G290" s="26"/>
      <c r="H290" s="26"/>
      <c r="I290" s="26">
        <f>ROUND(PRODUCT(C290:H290),2)</f>
        <v>0</v>
      </c>
      <c r="L290" s="13"/>
      <c r="M290" s="13"/>
    </row>
    <row r="291" spans="1:13" ht="15" customHeight="1" x14ac:dyDescent="0.4">
      <c r="A291" s="3"/>
      <c r="B291" s="3"/>
      <c r="C291" s="20"/>
      <c r="D291" s="20"/>
      <c r="E291" s="20"/>
      <c r="F291" s="20"/>
      <c r="G291" s="20"/>
      <c r="H291" s="19" t="str">
        <f>MASTER!$C42</f>
        <v>M</v>
      </c>
      <c r="I291" s="19">
        <f>ROUND(SUM(I288:I290),2)</f>
        <v>18</v>
      </c>
      <c r="J291" s="16"/>
      <c r="K291" s="29"/>
      <c r="L291" s="13"/>
      <c r="M291" s="13"/>
    </row>
    <row r="292" spans="1:13" ht="15" customHeight="1" x14ac:dyDescent="0.4">
      <c r="A292" s="21"/>
      <c r="B292" s="21"/>
      <c r="C292" s="25"/>
      <c r="D292" s="25"/>
      <c r="E292" s="25"/>
      <c r="F292" s="25"/>
      <c r="G292" s="25"/>
      <c r="H292" s="25"/>
      <c r="I292" s="25"/>
    </row>
    <row r="293" spans="1:13" ht="23.25" customHeight="1" x14ac:dyDescent="0.4">
      <c r="A293" s="4" t="str">
        <f>MASTER!$A43</f>
        <v>62-23-65-080 O H</v>
      </c>
      <c r="B293" s="43" t="str">
        <f>MASTER!$B43</f>
        <v>REGULARIZA€ÇO DE BASE PARA PISOS C/ ARGAMASSA DE ALTA RESISTÒNCIA, TRA€O 1:3</v>
      </c>
      <c r="C293" s="44"/>
      <c r="D293" s="44"/>
      <c r="E293" s="44"/>
      <c r="F293" s="44"/>
      <c r="G293" s="44"/>
      <c r="H293" s="44"/>
      <c r="I293" s="45"/>
      <c r="J293" s="15">
        <f>MASTER!$D43</f>
        <v>16</v>
      </c>
      <c r="K293" s="27" t="str">
        <f>IF(I298&lt;&gt;J293, "ERRO", "OK")</f>
        <v>OK</v>
      </c>
    </row>
    <row r="294" spans="1:13" s="2" customFormat="1" ht="14.25" customHeight="1" x14ac:dyDescent="0.25">
      <c r="A294" s="46" t="s">
        <v>1</v>
      </c>
      <c r="B294" s="46"/>
      <c r="C294" s="18" t="s">
        <v>4</v>
      </c>
      <c r="D294" s="18" t="s">
        <v>2</v>
      </c>
      <c r="E294" s="18" t="s">
        <v>3</v>
      </c>
      <c r="F294" s="18" t="s">
        <v>5</v>
      </c>
      <c r="G294" s="18" t="s">
        <v>11</v>
      </c>
      <c r="H294" s="18" t="s">
        <v>12</v>
      </c>
      <c r="I294" s="18" t="s">
        <v>0</v>
      </c>
      <c r="J294" s="15"/>
      <c r="K294" s="27"/>
    </row>
    <row r="295" spans="1:13" s="2" customFormat="1" ht="14.25" customHeight="1" x14ac:dyDescent="0.25">
      <c r="A295" s="41"/>
      <c r="B295" s="42"/>
      <c r="C295" s="26"/>
      <c r="D295" s="26"/>
      <c r="E295" s="26"/>
      <c r="F295" s="26">
        <v>16</v>
      </c>
      <c r="G295" s="26"/>
      <c r="H295" s="26"/>
      <c r="I295" s="26">
        <f>ROUND(PRODUCT(C295:H295),2)</f>
        <v>16</v>
      </c>
      <c r="J295" s="15"/>
      <c r="K295" s="27"/>
    </row>
    <row r="296" spans="1:13" s="2" customFormat="1" ht="14.25" hidden="1" customHeight="1" x14ac:dyDescent="0.25">
      <c r="A296" s="41"/>
      <c r="B296" s="42"/>
      <c r="C296" s="26"/>
      <c r="D296" s="26"/>
      <c r="E296" s="26"/>
      <c r="F296" s="26"/>
      <c r="G296" s="26"/>
      <c r="H296" s="26"/>
      <c r="I296" s="26">
        <f>ROUND(PRODUCT(C296:H296),2)</f>
        <v>0</v>
      </c>
      <c r="J296" s="15"/>
      <c r="K296" s="27"/>
    </row>
    <row r="297" spans="1:13" ht="15" hidden="1" customHeight="1" x14ac:dyDescent="0.4">
      <c r="A297" s="41"/>
      <c r="B297" s="42"/>
      <c r="C297" s="26"/>
      <c r="D297" s="26"/>
      <c r="E297" s="26"/>
      <c r="F297" s="26"/>
      <c r="G297" s="26"/>
      <c r="H297" s="26"/>
      <c r="I297" s="26">
        <f>ROUND(PRODUCT(C297:H297),2)</f>
        <v>0</v>
      </c>
      <c r="K297" s="27"/>
    </row>
    <row r="298" spans="1:13" ht="15" customHeight="1" x14ac:dyDescent="0.4">
      <c r="A298" s="3"/>
      <c r="B298" s="3"/>
      <c r="C298" s="20"/>
      <c r="D298" s="20"/>
      <c r="E298" s="20"/>
      <c r="F298" s="20"/>
      <c r="G298" s="20"/>
      <c r="H298" s="19" t="str">
        <f>MASTER!$C43</f>
        <v>M2</v>
      </c>
      <c r="I298" s="19">
        <f>ROUND(SUM(I295:I297),2)</f>
        <v>16</v>
      </c>
      <c r="J298" s="16"/>
      <c r="K298" s="27"/>
      <c r="L298" s="13"/>
      <c r="M298" s="13"/>
    </row>
    <row r="299" spans="1:13" ht="15" customHeight="1" x14ac:dyDescent="0.4">
      <c r="A299" s="21"/>
      <c r="B299" s="21"/>
      <c r="C299" s="25"/>
      <c r="D299" s="25"/>
      <c r="E299" s="25"/>
      <c r="F299" s="25"/>
      <c r="G299" s="25"/>
      <c r="H299" s="25"/>
      <c r="I299" s="25"/>
      <c r="K299" s="27"/>
      <c r="L299" s="13"/>
      <c r="M299" s="13"/>
    </row>
    <row r="300" spans="1:13" ht="27" customHeight="1" x14ac:dyDescent="0.4">
      <c r="A300" s="4" t="str">
        <f>MASTER!$A44</f>
        <v>01-19-03-008 C H</v>
      </c>
      <c r="B300" s="43" t="str">
        <f>MASTER!$B44</f>
        <v>REVESTIMENTO CER¶MICO PARA PISO COM PLACAS TIPO ESMALTADA DE DIMENSåES 60X60 CMAPLICADA EM AMBIENTES DE µREA ENTRE 5 M2 E 10 M2. AF_02/2023_PE CS: 87256</v>
      </c>
      <c r="C300" s="44"/>
      <c r="D300" s="44"/>
      <c r="E300" s="44"/>
      <c r="F300" s="44"/>
      <c r="G300" s="44"/>
      <c r="H300" s="44"/>
      <c r="I300" s="45"/>
      <c r="J300" s="15">
        <f>MASTER!$D44</f>
        <v>16</v>
      </c>
      <c r="K300" s="27" t="str">
        <f>IF(I305&lt;&gt;J300, "ERRO", "OK")</f>
        <v>OK</v>
      </c>
      <c r="L300" s="13"/>
      <c r="M300" s="13"/>
    </row>
    <row r="301" spans="1:13" s="2" customFormat="1" ht="14.25" customHeight="1" x14ac:dyDescent="0.25">
      <c r="A301" s="46" t="s">
        <v>1</v>
      </c>
      <c r="B301" s="46"/>
      <c r="C301" s="18" t="s">
        <v>4</v>
      </c>
      <c r="D301" s="18" t="s">
        <v>2</v>
      </c>
      <c r="E301" s="18" t="s">
        <v>3</v>
      </c>
      <c r="F301" s="18" t="s">
        <v>5</v>
      </c>
      <c r="G301" s="18" t="s">
        <v>11</v>
      </c>
      <c r="H301" s="18" t="s">
        <v>12</v>
      </c>
      <c r="I301" s="18" t="s">
        <v>0</v>
      </c>
      <c r="J301" s="15"/>
      <c r="K301" s="27"/>
      <c r="L301" s="13"/>
      <c r="M301" s="13"/>
    </row>
    <row r="302" spans="1:13" s="2" customFormat="1" ht="14.25" customHeight="1" x14ac:dyDescent="0.25">
      <c r="A302" s="41"/>
      <c r="B302" s="42"/>
      <c r="C302" s="26"/>
      <c r="D302" s="26"/>
      <c r="E302" s="26"/>
      <c r="F302" s="26">
        <v>16</v>
      </c>
      <c r="G302" s="26"/>
      <c r="H302" s="26"/>
      <c r="I302" s="26">
        <f>ROUND(PRODUCT(C302:H302),2)</f>
        <v>16</v>
      </c>
      <c r="J302" s="15"/>
      <c r="K302" s="27"/>
      <c r="L302" s="13"/>
      <c r="M302" s="13"/>
    </row>
    <row r="303" spans="1:13" s="2" customFormat="1" ht="14.25" hidden="1" customHeight="1" x14ac:dyDescent="0.4">
      <c r="A303" s="41"/>
      <c r="B303" s="42"/>
      <c r="C303" s="26"/>
      <c r="D303" s="26"/>
      <c r="E303" s="26"/>
      <c r="F303" s="26"/>
      <c r="G303" s="26"/>
      <c r="H303" s="26"/>
      <c r="I303" s="26">
        <f>ROUND(PRODUCT(C303:H303),2)</f>
        <v>0</v>
      </c>
      <c r="J303" s="15"/>
      <c r="K303" s="28"/>
      <c r="L303" s="13"/>
      <c r="M303" s="13"/>
    </row>
    <row r="304" spans="1:13" ht="15" hidden="1" customHeight="1" x14ac:dyDescent="0.4">
      <c r="A304" s="41"/>
      <c r="B304" s="42"/>
      <c r="C304" s="26"/>
      <c r="D304" s="26"/>
      <c r="E304" s="26"/>
      <c r="F304" s="26"/>
      <c r="G304" s="26"/>
      <c r="H304" s="26"/>
      <c r="I304" s="26">
        <f>ROUND(PRODUCT(C304:H304),2)</f>
        <v>0</v>
      </c>
      <c r="L304" s="13"/>
      <c r="M304" s="13"/>
    </row>
    <row r="305" spans="1:13" ht="15" customHeight="1" x14ac:dyDescent="0.4">
      <c r="A305" s="3"/>
      <c r="B305" s="3"/>
      <c r="C305" s="20"/>
      <c r="D305" s="20"/>
      <c r="E305" s="20"/>
      <c r="F305" s="20"/>
      <c r="G305" s="20"/>
      <c r="H305" s="19" t="str">
        <f>MASTER!$C44</f>
        <v>M2</v>
      </c>
      <c r="I305" s="19">
        <f>ROUND(SUM(I302:I304),2)</f>
        <v>16</v>
      </c>
      <c r="J305" s="16"/>
      <c r="K305" s="29"/>
      <c r="L305" s="13"/>
      <c r="M305" s="13"/>
    </row>
    <row r="306" spans="1:13" ht="15" customHeight="1" x14ac:dyDescent="0.4">
      <c r="A306" s="21"/>
      <c r="B306" s="21"/>
      <c r="C306" s="25"/>
      <c r="D306" s="25"/>
      <c r="E306" s="25"/>
      <c r="F306" s="25"/>
      <c r="G306" s="25"/>
      <c r="H306" s="25"/>
      <c r="I306" s="25"/>
    </row>
    <row r="307" spans="1:13" ht="23.25" customHeight="1" x14ac:dyDescent="0.4">
      <c r="A307" s="4" t="str">
        <f>MASTER!$A45</f>
        <v>63-21-05-040 O H</v>
      </c>
      <c r="B307" s="43" t="str">
        <f>MASTER!$B45</f>
        <v>REJUNTAMENTO DE PISO CER¶MICO, COM CIMENTO BRANCO PARA JUNTAS DE AT 3MM</v>
      </c>
      <c r="C307" s="44"/>
      <c r="D307" s="44"/>
      <c r="E307" s="44"/>
      <c r="F307" s="44"/>
      <c r="G307" s="44"/>
      <c r="H307" s="44"/>
      <c r="I307" s="45"/>
      <c r="J307" s="15">
        <f>MASTER!$D45</f>
        <v>16</v>
      </c>
      <c r="K307" s="27" t="str">
        <f>IF(I312&lt;&gt;J307, "ERRO", "OK")</f>
        <v>OK</v>
      </c>
    </row>
    <row r="308" spans="1:13" s="2" customFormat="1" ht="14.25" customHeight="1" x14ac:dyDescent="0.25">
      <c r="A308" s="46" t="s">
        <v>1</v>
      </c>
      <c r="B308" s="46"/>
      <c r="C308" s="18" t="s">
        <v>4</v>
      </c>
      <c r="D308" s="18" t="s">
        <v>2</v>
      </c>
      <c r="E308" s="18" t="s">
        <v>3</v>
      </c>
      <c r="F308" s="18" t="s">
        <v>5</v>
      </c>
      <c r="G308" s="18" t="s">
        <v>11</v>
      </c>
      <c r="H308" s="18" t="s">
        <v>12</v>
      </c>
      <c r="I308" s="18" t="s">
        <v>0</v>
      </c>
      <c r="J308" s="15"/>
      <c r="K308" s="27"/>
    </row>
    <row r="309" spans="1:13" s="2" customFormat="1" ht="14.25" customHeight="1" x14ac:dyDescent="0.25">
      <c r="A309" s="41"/>
      <c r="B309" s="42"/>
      <c r="C309" s="26"/>
      <c r="D309" s="26"/>
      <c r="E309" s="26"/>
      <c r="F309" s="26">
        <v>16</v>
      </c>
      <c r="G309" s="26"/>
      <c r="H309" s="26"/>
      <c r="I309" s="26">
        <f>ROUND(PRODUCT(C309:H309),2)</f>
        <v>16</v>
      </c>
      <c r="J309" s="15"/>
      <c r="K309" s="27"/>
    </row>
    <row r="310" spans="1:13" s="2" customFormat="1" ht="14.25" hidden="1" customHeight="1" x14ac:dyDescent="0.25">
      <c r="A310" s="41"/>
      <c r="B310" s="42"/>
      <c r="C310" s="26"/>
      <c r="D310" s="26"/>
      <c r="E310" s="26"/>
      <c r="F310" s="26"/>
      <c r="G310" s="26"/>
      <c r="H310" s="26"/>
      <c r="I310" s="26">
        <f>ROUND(PRODUCT(C310:H310),2)</f>
        <v>0</v>
      </c>
      <c r="J310" s="15"/>
      <c r="K310" s="27"/>
    </row>
    <row r="311" spans="1:13" ht="15" hidden="1" customHeight="1" x14ac:dyDescent="0.4">
      <c r="A311" s="41"/>
      <c r="B311" s="42"/>
      <c r="C311" s="26"/>
      <c r="D311" s="26"/>
      <c r="E311" s="26"/>
      <c r="F311" s="26"/>
      <c r="G311" s="26"/>
      <c r="H311" s="26"/>
      <c r="I311" s="26">
        <f>ROUND(PRODUCT(C311:H311),2)</f>
        <v>0</v>
      </c>
      <c r="K311" s="27"/>
    </row>
    <row r="312" spans="1:13" ht="15" customHeight="1" x14ac:dyDescent="0.4">
      <c r="A312" s="3"/>
      <c r="B312" s="3"/>
      <c r="C312" s="20"/>
      <c r="D312" s="20"/>
      <c r="E312" s="20"/>
      <c r="F312" s="20"/>
      <c r="G312" s="20"/>
      <c r="H312" s="19" t="str">
        <f>MASTER!$C45</f>
        <v>M2</v>
      </c>
      <c r="I312" s="19">
        <f>ROUND(SUM(I309:I311),2)</f>
        <v>16</v>
      </c>
      <c r="J312" s="16"/>
      <c r="K312" s="27"/>
      <c r="L312" s="13"/>
      <c r="M312" s="13"/>
    </row>
    <row r="313" spans="1:13" ht="15" customHeight="1" x14ac:dyDescent="0.4">
      <c r="A313" s="21"/>
      <c r="B313" s="21"/>
      <c r="C313" s="25"/>
      <c r="D313" s="25"/>
      <c r="E313" s="25"/>
      <c r="F313" s="25"/>
      <c r="G313" s="25"/>
      <c r="H313" s="25"/>
      <c r="I313" s="25"/>
      <c r="K313" s="27"/>
      <c r="L313" s="13"/>
      <c r="M313" s="13"/>
    </row>
    <row r="314" spans="1:13" ht="23.25" customHeight="1" x14ac:dyDescent="0.4">
      <c r="A314" s="4" t="str">
        <f>MASTER!$A46</f>
        <v>64-23-74-017 O H</v>
      </c>
      <c r="B314" s="43" t="str">
        <f>MASTER!$B46</f>
        <v>EMASSAMENTO DE PAREDES INTERNAS C/ MASSA ACRÖLICA DUAS DEMÇOS</v>
      </c>
      <c r="C314" s="44"/>
      <c r="D314" s="44"/>
      <c r="E314" s="44"/>
      <c r="F314" s="44"/>
      <c r="G314" s="44"/>
      <c r="H314" s="44"/>
      <c r="I314" s="45"/>
      <c r="J314" s="15">
        <f>MASTER!$D46</f>
        <v>30</v>
      </c>
      <c r="K314" s="27" t="str">
        <f>IF(I319&lt;&gt;J314, "ERRO", "OK")</f>
        <v>OK</v>
      </c>
      <c r="L314" s="13"/>
      <c r="M314" s="13"/>
    </row>
    <row r="315" spans="1:13" s="2" customFormat="1" ht="14.25" customHeight="1" x14ac:dyDescent="0.25">
      <c r="A315" s="46" t="s">
        <v>1</v>
      </c>
      <c r="B315" s="46"/>
      <c r="C315" s="18" t="s">
        <v>4</v>
      </c>
      <c r="D315" s="18" t="s">
        <v>2</v>
      </c>
      <c r="E315" s="18" t="s">
        <v>3</v>
      </c>
      <c r="F315" s="18" t="s">
        <v>5</v>
      </c>
      <c r="G315" s="18" t="s">
        <v>11</v>
      </c>
      <c r="H315" s="18" t="s">
        <v>12</v>
      </c>
      <c r="I315" s="18" t="s">
        <v>0</v>
      </c>
      <c r="J315" s="15"/>
      <c r="K315" s="27"/>
      <c r="L315" s="13"/>
      <c r="M315" s="13"/>
    </row>
    <row r="316" spans="1:13" s="2" customFormat="1" ht="14.25" customHeight="1" x14ac:dyDescent="0.25">
      <c r="A316" s="41"/>
      <c r="B316" s="42"/>
      <c r="C316" s="26"/>
      <c r="D316" s="26"/>
      <c r="E316" s="26"/>
      <c r="F316" s="26">
        <v>30</v>
      </c>
      <c r="G316" s="26"/>
      <c r="H316" s="26"/>
      <c r="I316" s="26">
        <f>ROUND(PRODUCT(C316:H316),2)</f>
        <v>30</v>
      </c>
      <c r="J316" s="15"/>
      <c r="K316" s="27"/>
      <c r="L316" s="13"/>
      <c r="M316" s="13"/>
    </row>
    <row r="317" spans="1:13" s="2" customFormat="1" ht="14.25" hidden="1" customHeight="1" x14ac:dyDescent="0.4">
      <c r="A317" s="41"/>
      <c r="B317" s="42"/>
      <c r="C317" s="26"/>
      <c r="D317" s="26"/>
      <c r="E317" s="26"/>
      <c r="F317" s="26"/>
      <c r="G317" s="26"/>
      <c r="H317" s="26"/>
      <c r="I317" s="26">
        <f>ROUND(PRODUCT(C317:H317),2)</f>
        <v>0</v>
      </c>
      <c r="J317" s="15"/>
      <c r="K317" s="28"/>
      <c r="L317" s="13"/>
      <c r="M317" s="13"/>
    </row>
    <row r="318" spans="1:13" ht="15" hidden="1" customHeight="1" x14ac:dyDescent="0.4">
      <c r="A318" s="41"/>
      <c r="B318" s="42"/>
      <c r="C318" s="26"/>
      <c r="D318" s="26"/>
      <c r="E318" s="26"/>
      <c r="F318" s="26"/>
      <c r="G318" s="26"/>
      <c r="H318" s="26"/>
      <c r="I318" s="26">
        <f>ROUND(PRODUCT(C318:H318),2)</f>
        <v>0</v>
      </c>
      <c r="L318" s="13"/>
      <c r="M318" s="13"/>
    </row>
    <row r="319" spans="1:13" ht="15" customHeight="1" x14ac:dyDescent="0.4">
      <c r="A319" s="3"/>
      <c r="B319" s="3"/>
      <c r="C319" s="20"/>
      <c r="D319" s="20"/>
      <c r="E319" s="20"/>
      <c r="F319" s="20"/>
      <c r="G319" s="20"/>
      <c r="H319" s="19" t="str">
        <f>MASTER!$C46</f>
        <v>M2</v>
      </c>
      <c r="I319" s="19">
        <f>ROUND(SUM(I316:I318),2)</f>
        <v>30</v>
      </c>
      <c r="J319" s="16"/>
      <c r="L319" s="13"/>
      <c r="M319" s="13"/>
    </row>
    <row r="320" spans="1:13" ht="15" customHeight="1" x14ac:dyDescent="0.4">
      <c r="A320" s="22"/>
      <c r="B320" s="22"/>
      <c r="C320" s="23"/>
      <c r="D320" s="23"/>
      <c r="E320" s="23"/>
      <c r="F320" s="23"/>
      <c r="G320" s="23"/>
      <c r="H320" s="24"/>
      <c r="I320" s="24"/>
      <c r="J320" s="16"/>
      <c r="L320" s="13"/>
      <c r="M320" s="13"/>
    </row>
    <row r="321" spans="1:13" ht="27" customHeight="1" x14ac:dyDescent="0.4">
      <c r="A321" s="4" t="str">
        <f>MASTER!$A47</f>
        <v>01-13-06-102 C H</v>
      </c>
      <c r="B321" s="43" t="str">
        <f>MASTER!$B47</f>
        <v>VASO SANITµRIO SIFONADO COM CAIXA ACOPLADA, LOU€A BRANCA - PADRÇO ALTO - FORNECIMENTO E INSTALA€ÇO. AF_01/2020 CS: 100878</v>
      </c>
      <c r="C321" s="44"/>
      <c r="D321" s="44"/>
      <c r="E321" s="44"/>
      <c r="F321" s="44"/>
      <c r="G321" s="44"/>
      <c r="H321" s="44"/>
      <c r="I321" s="45"/>
      <c r="J321" s="15">
        <f>MASTER!$D47</f>
        <v>1</v>
      </c>
      <c r="K321" s="27" t="str">
        <f>IF(I326&lt;&gt;J321, "ERRO", "OK")</f>
        <v>OK</v>
      </c>
    </row>
    <row r="322" spans="1:13" s="2" customFormat="1" ht="14.25" customHeight="1" x14ac:dyDescent="0.25">
      <c r="A322" s="46" t="s">
        <v>1</v>
      </c>
      <c r="B322" s="46"/>
      <c r="C322" s="18" t="s">
        <v>4</v>
      </c>
      <c r="D322" s="18" t="s">
        <v>2</v>
      </c>
      <c r="E322" s="18" t="s">
        <v>3</v>
      </c>
      <c r="F322" s="18" t="s">
        <v>5</v>
      </c>
      <c r="G322" s="18" t="s">
        <v>11</v>
      </c>
      <c r="H322" s="18" t="s">
        <v>12</v>
      </c>
      <c r="I322" s="18" t="s">
        <v>0</v>
      </c>
      <c r="J322" s="15"/>
      <c r="K322" s="27"/>
    </row>
    <row r="323" spans="1:13" s="2" customFormat="1" ht="14.25" customHeight="1" x14ac:dyDescent="0.25">
      <c r="A323" s="41"/>
      <c r="B323" s="42"/>
      <c r="C323" s="26"/>
      <c r="D323" s="26"/>
      <c r="E323" s="26"/>
      <c r="F323" s="26">
        <v>1</v>
      </c>
      <c r="G323" s="26"/>
      <c r="H323" s="26"/>
      <c r="I323" s="26">
        <f>ROUND(PRODUCT(C323:H323),2)</f>
        <v>1</v>
      </c>
      <c r="J323" s="15"/>
      <c r="K323" s="27"/>
    </row>
    <row r="324" spans="1:13" s="2" customFormat="1" ht="14.25" hidden="1" customHeight="1" x14ac:dyDescent="0.25">
      <c r="A324" s="41"/>
      <c r="B324" s="42"/>
      <c r="C324" s="26"/>
      <c r="D324" s="26"/>
      <c r="E324" s="26"/>
      <c r="F324" s="26"/>
      <c r="G324" s="26"/>
      <c r="H324" s="26"/>
      <c r="I324" s="26">
        <f>ROUND(PRODUCT(C324:H324),2)</f>
        <v>0</v>
      </c>
      <c r="J324" s="15"/>
      <c r="K324" s="27"/>
    </row>
    <row r="325" spans="1:13" ht="15" hidden="1" customHeight="1" x14ac:dyDescent="0.4">
      <c r="A325" s="41"/>
      <c r="B325" s="42"/>
      <c r="C325" s="26"/>
      <c r="D325" s="26"/>
      <c r="E325" s="26"/>
      <c r="F325" s="26"/>
      <c r="G325" s="26"/>
      <c r="H325" s="26"/>
      <c r="I325" s="26">
        <f>ROUND(PRODUCT(C325:H325),2)</f>
        <v>0</v>
      </c>
      <c r="K325" s="27"/>
    </row>
    <row r="326" spans="1:13" ht="15" customHeight="1" x14ac:dyDescent="0.4">
      <c r="A326" s="3"/>
      <c r="B326" s="3"/>
      <c r="C326" s="20"/>
      <c r="D326" s="20"/>
      <c r="E326" s="20"/>
      <c r="F326" s="20"/>
      <c r="G326" s="20"/>
      <c r="H326" s="19" t="str">
        <f>MASTER!$C47</f>
        <v>UN</v>
      </c>
      <c r="I326" s="19">
        <f>ROUND(SUM(I323:I325),2)</f>
        <v>1</v>
      </c>
      <c r="J326" s="16"/>
      <c r="K326" s="27"/>
      <c r="L326" s="13"/>
      <c r="M326" s="13"/>
    </row>
    <row r="327" spans="1:13" ht="15" customHeight="1" x14ac:dyDescent="0.4">
      <c r="A327" s="21"/>
      <c r="B327" s="21"/>
      <c r="C327" s="25"/>
      <c r="D327" s="25"/>
      <c r="E327" s="25"/>
      <c r="F327" s="25"/>
      <c r="G327" s="25"/>
      <c r="H327" s="25"/>
      <c r="I327" s="25"/>
      <c r="K327" s="27"/>
      <c r="L327" s="13"/>
      <c r="M327" s="13"/>
    </row>
    <row r="328" spans="1:13" ht="23.25" customHeight="1" x14ac:dyDescent="0.4">
      <c r="A328" s="4" t="str">
        <f>MASTER!$A48</f>
        <v>01-13-06-077 C H</v>
      </c>
      <c r="B328" s="43" t="str">
        <f>MASTER!$B48</f>
        <v>ASSENTO SANITµRIO CONVENCIONAL - FORNECIMENTO E INSTALACAO. AF_01/2020 CS: 100849</v>
      </c>
      <c r="C328" s="44"/>
      <c r="D328" s="44"/>
      <c r="E328" s="44"/>
      <c r="F328" s="44"/>
      <c r="G328" s="44"/>
      <c r="H328" s="44"/>
      <c r="I328" s="45"/>
      <c r="J328" s="15">
        <f>MASTER!$D48</f>
        <v>5</v>
      </c>
      <c r="K328" s="27" t="str">
        <f>IF(I333&lt;&gt;J328, "ERRO", "OK")</f>
        <v>OK</v>
      </c>
      <c r="L328" s="13"/>
      <c r="M328" s="13"/>
    </row>
    <row r="329" spans="1:13" s="2" customFormat="1" ht="14.25" customHeight="1" x14ac:dyDescent="0.25">
      <c r="A329" s="46" t="s">
        <v>1</v>
      </c>
      <c r="B329" s="46"/>
      <c r="C329" s="18" t="s">
        <v>4</v>
      </c>
      <c r="D329" s="18" t="s">
        <v>2</v>
      </c>
      <c r="E329" s="18" t="s">
        <v>3</v>
      </c>
      <c r="F329" s="18" t="s">
        <v>5</v>
      </c>
      <c r="G329" s="18" t="s">
        <v>11</v>
      </c>
      <c r="H329" s="18" t="s">
        <v>12</v>
      </c>
      <c r="I329" s="18" t="s">
        <v>0</v>
      </c>
      <c r="J329" s="15"/>
      <c r="K329" s="27"/>
      <c r="L329" s="13"/>
      <c r="M329" s="13"/>
    </row>
    <row r="330" spans="1:13" s="2" customFormat="1" ht="14.25" customHeight="1" x14ac:dyDescent="0.25">
      <c r="A330" s="41"/>
      <c r="B330" s="42"/>
      <c r="C330" s="26"/>
      <c r="D330" s="26"/>
      <c r="E330" s="26"/>
      <c r="F330" s="26">
        <v>5</v>
      </c>
      <c r="G330" s="26"/>
      <c r="H330" s="26"/>
      <c r="I330" s="26">
        <f>ROUND(PRODUCT(C330:H330),2)</f>
        <v>5</v>
      </c>
      <c r="J330" s="15"/>
      <c r="K330" s="27"/>
      <c r="L330" s="13"/>
      <c r="M330" s="13"/>
    </row>
    <row r="331" spans="1:13" s="2" customFormat="1" ht="14.25" hidden="1" customHeight="1" x14ac:dyDescent="0.4">
      <c r="A331" s="41"/>
      <c r="B331" s="42"/>
      <c r="C331" s="26"/>
      <c r="D331" s="26"/>
      <c r="E331" s="26"/>
      <c r="F331" s="26"/>
      <c r="G331" s="26"/>
      <c r="H331" s="26"/>
      <c r="I331" s="26">
        <f>ROUND(PRODUCT(C331:H331),2)</f>
        <v>0</v>
      </c>
      <c r="J331" s="15"/>
      <c r="K331" s="28"/>
      <c r="L331" s="13"/>
      <c r="M331" s="13"/>
    </row>
    <row r="332" spans="1:13" ht="15" hidden="1" customHeight="1" x14ac:dyDescent="0.4">
      <c r="A332" s="41"/>
      <c r="B332" s="42"/>
      <c r="C332" s="26"/>
      <c r="D332" s="26"/>
      <c r="E332" s="26"/>
      <c r="F332" s="26"/>
      <c r="G332" s="26"/>
      <c r="H332" s="26"/>
      <c r="I332" s="26">
        <f>ROUND(PRODUCT(C332:H332),2)</f>
        <v>0</v>
      </c>
      <c r="L332" s="13"/>
      <c r="M332" s="13"/>
    </row>
    <row r="333" spans="1:13" ht="15" customHeight="1" x14ac:dyDescent="0.4">
      <c r="A333" s="3"/>
      <c r="B333" s="3"/>
      <c r="C333" s="20"/>
      <c r="D333" s="20"/>
      <c r="E333" s="20"/>
      <c r="F333" s="20"/>
      <c r="G333" s="20"/>
      <c r="H333" s="19" t="str">
        <f>MASTER!$C48</f>
        <v>UN</v>
      </c>
      <c r="I333" s="19">
        <f>ROUND(SUM(I330:I332),2)</f>
        <v>5</v>
      </c>
      <c r="J333" s="16"/>
      <c r="K333" s="29"/>
      <c r="L333" s="13"/>
      <c r="M333" s="13"/>
    </row>
    <row r="334" spans="1:13" ht="15" customHeight="1" x14ac:dyDescent="0.4">
      <c r="A334" s="21"/>
      <c r="B334" s="21"/>
      <c r="C334" s="25"/>
      <c r="D334" s="25"/>
      <c r="E334" s="25"/>
      <c r="F334" s="25"/>
      <c r="G334" s="25"/>
      <c r="H334" s="25"/>
      <c r="I334" s="25"/>
    </row>
    <row r="335" spans="1:13" ht="23.25" customHeight="1" x14ac:dyDescent="0.4">
      <c r="A335" s="4" t="str">
        <f>MASTER!$A49</f>
        <v>01-13-06-081 C H</v>
      </c>
      <c r="B335" s="43" t="str">
        <f>MASTER!$B49</f>
        <v>TORNEIRA CROMADA DE MESA PARA LAVATàRIOCOM SENSOR DE PRESENCA. AF_01/2020 CS: 100854</v>
      </c>
      <c r="C335" s="44"/>
      <c r="D335" s="44"/>
      <c r="E335" s="44"/>
      <c r="F335" s="44"/>
      <c r="G335" s="44"/>
      <c r="H335" s="44"/>
      <c r="I335" s="45"/>
      <c r="J335" s="15">
        <f>MASTER!$D49</f>
        <v>2</v>
      </c>
      <c r="K335" s="27" t="str">
        <f>IF(I340&lt;&gt;J335, "ERRO", "OK")</f>
        <v>OK</v>
      </c>
    </row>
    <row r="336" spans="1:13" s="2" customFormat="1" ht="14.25" customHeight="1" x14ac:dyDescent="0.25">
      <c r="A336" s="46" t="s">
        <v>1</v>
      </c>
      <c r="B336" s="46"/>
      <c r="C336" s="18" t="s">
        <v>4</v>
      </c>
      <c r="D336" s="18" t="s">
        <v>2</v>
      </c>
      <c r="E336" s="18" t="s">
        <v>3</v>
      </c>
      <c r="F336" s="18" t="s">
        <v>5</v>
      </c>
      <c r="G336" s="18" t="s">
        <v>11</v>
      </c>
      <c r="H336" s="18" t="s">
        <v>12</v>
      </c>
      <c r="I336" s="18" t="s">
        <v>0</v>
      </c>
      <c r="J336" s="15"/>
      <c r="K336" s="27"/>
    </row>
    <row r="337" spans="1:13" s="2" customFormat="1" ht="14.25" customHeight="1" x14ac:dyDescent="0.25">
      <c r="A337" s="41"/>
      <c r="B337" s="42"/>
      <c r="C337" s="26"/>
      <c r="D337" s="26"/>
      <c r="E337" s="26"/>
      <c r="F337" s="26">
        <v>2</v>
      </c>
      <c r="G337" s="26"/>
      <c r="H337" s="26"/>
      <c r="I337" s="26">
        <f>ROUND(PRODUCT(C337:H337),2)</f>
        <v>2</v>
      </c>
      <c r="J337" s="15"/>
      <c r="K337" s="27"/>
    </row>
    <row r="338" spans="1:13" s="2" customFormat="1" ht="14.25" hidden="1" customHeight="1" x14ac:dyDescent="0.25">
      <c r="A338" s="41"/>
      <c r="B338" s="42"/>
      <c r="C338" s="26"/>
      <c r="D338" s="26"/>
      <c r="E338" s="26"/>
      <c r="F338" s="26"/>
      <c r="G338" s="26"/>
      <c r="H338" s="26"/>
      <c r="I338" s="26">
        <f>ROUND(PRODUCT(C338:H338),2)</f>
        <v>0</v>
      </c>
      <c r="J338" s="15"/>
      <c r="K338" s="27"/>
    </row>
    <row r="339" spans="1:13" ht="15" hidden="1" customHeight="1" x14ac:dyDescent="0.4">
      <c r="A339" s="41"/>
      <c r="B339" s="42"/>
      <c r="C339" s="26"/>
      <c r="D339" s="26"/>
      <c r="E339" s="26"/>
      <c r="F339" s="26"/>
      <c r="G339" s="26"/>
      <c r="H339" s="26"/>
      <c r="I339" s="26">
        <f>ROUND(PRODUCT(C339:H339),2)</f>
        <v>0</v>
      </c>
      <c r="K339" s="27"/>
    </row>
    <row r="340" spans="1:13" ht="15" customHeight="1" x14ac:dyDescent="0.4">
      <c r="A340" s="3"/>
      <c r="B340" s="3"/>
      <c r="C340" s="20"/>
      <c r="D340" s="20"/>
      <c r="E340" s="20"/>
      <c r="F340" s="20"/>
      <c r="G340" s="20"/>
      <c r="H340" s="19" t="str">
        <f>MASTER!$C49</f>
        <v>UN</v>
      </c>
      <c r="I340" s="19">
        <f>ROUND(SUM(I337:I339),2)</f>
        <v>2</v>
      </c>
      <c r="J340" s="16"/>
      <c r="K340" s="27"/>
      <c r="L340" s="13"/>
      <c r="M340" s="13"/>
    </row>
    <row r="341" spans="1:13" ht="15" customHeight="1" x14ac:dyDescent="0.4">
      <c r="A341" s="21"/>
      <c r="B341" s="21"/>
      <c r="C341" s="25"/>
      <c r="D341" s="25"/>
      <c r="E341" s="25"/>
      <c r="F341" s="25"/>
      <c r="G341" s="25"/>
      <c r="H341" s="25"/>
      <c r="I341" s="25"/>
      <c r="K341" s="27"/>
      <c r="L341" s="13"/>
      <c r="M341" s="13"/>
    </row>
    <row r="342" spans="1:13" ht="27" customHeight="1" x14ac:dyDescent="0.4">
      <c r="A342" s="4" t="str">
        <f>MASTER!$A50</f>
        <v>01-13-06-058 C H</v>
      </c>
      <c r="B342" s="43" t="str">
        <f>MASTER!$B50</f>
        <v>LAVATàRIO LOU€A BRANCA COM COLUNA, 45 X55CM OU EQUIVALENTE, PADRÇO MDIO, INCLUSO SIFÇO TIPO GARRAFA, VµLVULA E ENGATEFLEXÖVEL DE 40CM EM METAL CROMADO, COM APARELHO MISTURADOR PADRÇO MDIO - FORNEC</v>
      </c>
      <c r="C342" s="44"/>
      <c r="D342" s="44"/>
      <c r="E342" s="44"/>
      <c r="F342" s="44"/>
      <c r="G342" s="44"/>
      <c r="H342" s="44"/>
      <c r="I342" s="45"/>
      <c r="J342" s="15">
        <f>MASTER!$D50</f>
        <v>1</v>
      </c>
      <c r="K342" s="27" t="str">
        <f>IF(I347&lt;&gt;J342, "ERRO", "OK")</f>
        <v>OK</v>
      </c>
      <c r="L342" s="13"/>
      <c r="M342" s="13"/>
    </row>
    <row r="343" spans="1:13" s="2" customFormat="1" ht="14.25" customHeight="1" x14ac:dyDescent="0.25">
      <c r="A343" s="46" t="s">
        <v>1</v>
      </c>
      <c r="B343" s="46"/>
      <c r="C343" s="18" t="s">
        <v>4</v>
      </c>
      <c r="D343" s="18" t="s">
        <v>2</v>
      </c>
      <c r="E343" s="18" t="s">
        <v>3</v>
      </c>
      <c r="F343" s="18" t="s">
        <v>5</v>
      </c>
      <c r="G343" s="18" t="s">
        <v>11</v>
      </c>
      <c r="H343" s="18" t="s">
        <v>12</v>
      </c>
      <c r="I343" s="18" t="s">
        <v>0</v>
      </c>
      <c r="J343" s="15"/>
      <c r="K343" s="27"/>
      <c r="L343" s="13"/>
      <c r="M343" s="13"/>
    </row>
    <row r="344" spans="1:13" s="2" customFormat="1" ht="14.25" customHeight="1" x14ac:dyDescent="0.25">
      <c r="A344" s="41"/>
      <c r="B344" s="42"/>
      <c r="C344" s="26"/>
      <c r="D344" s="26"/>
      <c r="E344" s="26"/>
      <c r="F344" s="26">
        <v>1</v>
      </c>
      <c r="G344" s="26"/>
      <c r="H344" s="26"/>
      <c r="I344" s="26">
        <f>ROUND(PRODUCT(C344:H344),2)</f>
        <v>1</v>
      </c>
      <c r="J344" s="15"/>
      <c r="K344" s="27"/>
      <c r="L344" s="13"/>
      <c r="M344" s="13"/>
    </row>
    <row r="345" spans="1:13" s="2" customFormat="1" ht="14.25" hidden="1" customHeight="1" x14ac:dyDescent="0.4">
      <c r="A345" s="41"/>
      <c r="B345" s="42"/>
      <c r="C345" s="26"/>
      <c r="D345" s="26"/>
      <c r="E345" s="26"/>
      <c r="F345" s="26"/>
      <c r="G345" s="26"/>
      <c r="H345" s="26"/>
      <c r="I345" s="26">
        <f>ROUND(PRODUCT(C345:H345),2)</f>
        <v>0</v>
      </c>
      <c r="J345" s="15"/>
      <c r="K345" s="28"/>
      <c r="L345" s="13"/>
      <c r="M345" s="13"/>
    </row>
    <row r="346" spans="1:13" ht="15" hidden="1" customHeight="1" x14ac:dyDescent="0.4">
      <c r="A346" s="41"/>
      <c r="B346" s="42"/>
      <c r="C346" s="26"/>
      <c r="D346" s="26"/>
      <c r="E346" s="26"/>
      <c r="F346" s="26"/>
      <c r="G346" s="26"/>
      <c r="H346" s="26"/>
      <c r="I346" s="26">
        <f>ROUND(PRODUCT(C346:H346),2)</f>
        <v>0</v>
      </c>
      <c r="L346" s="13"/>
      <c r="M346" s="13"/>
    </row>
    <row r="347" spans="1:13" ht="15" customHeight="1" x14ac:dyDescent="0.4">
      <c r="A347" s="3"/>
      <c r="B347" s="3"/>
      <c r="C347" s="20"/>
      <c r="D347" s="20"/>
      <c r="E347" s="20"/>
      <c r="F347" s="20"/>
      <c r="G347" s="20"/>
      <c r="H347" s="19" t="str">
        <f>MASTER!$C50</f>
        <v>UN</v>
      </c>
      <c r="I347" s="19">
        <f>ROUND(SUM(I344:I346),2)</f>
        <v>1</v>
      </c>
      <c r="J347" s="16"/>
      <c r="K347" s="29"/>
      <c r="L347" s="13"/>
      <c r="M347" s="13"/>
    </row>
    <row r="348" spans="1:13" ht="15" customHeight="1" x14ac:dyDescent="0.4">
      <c r="A348" s="21"/>
      <c r="B348" s="21"/>
      <c r="C348" s="25"/>
      <c r="D348" s="25"/>
      <c r="E348" s="25"/>
      <c r="F348" s="25"/>
      <c r="G348" s="25"/>
      <c r="H348" s="25"/>
      <c r="I348" s="25"/>
    </row>
    <row r="349" spans="1:13" ht="27" customHeight="1" x14ac:dyDescent="0.4">
      <c r="A349" s="4" t="str">
        <f>MASTER!$A51</f>
        <v>01-13-06-062 C H</v>
      </c>
      <c r="B349" s="43" t="str">
        <f>MASTER!$B51</f>
        <v>BANCADA MµRMORE BRANCO, 50 X 60 CM, INCLUSO CUBA DE EMBUTIR OVAL EM LOU€A BRANCA 35 X 50 CM, VµLVULA, SIFÇO TIPO GARRAFA E ENGATE FLEXÖVEL 40 CM EM METAL CROMADO E APARELHO MISTURADOR DE MESA, PADRÇO</v>
      </c>
      <c r="C349" s="44"/>
      <c r="D349" s="44"/>
      <c r="E349" s="44"/>
      <c r="F349" s="44"/>
      <c r="G349" s="44"/>
      <c r="H349" s="44"/>
      <c r="I349" s="45"/>
      <c r="J349" s="15">
        <f>MASTER!$D51</f>
        <v>1</v>
      </c>
      <c r="K349" s="27" t="str">
        <f>IF(I354&lt;&gt;J349, "ERRO", "OK")</f>
        <v>OK</v>
      </c>
    </row>
    <row r="350" spans="1:13" s="2" customFormat="1" ht="14.25" customHeight="1" x14ac:dyDescent="0.25">
      <c r="A350" s="46" t="s">
        <v>1</v>
      </c>
      <c r="B350" s="46"/>
      <c r="C350" s="18" t="s">
        <v>4</v>
      </c>
      <c r="D350" s="18" t="s">
        <v>2</v>
      </c>
      <c r="E350" s="18" t="s">
        <v>3</v>
      </c>
      <c r="F350" s="18" t="s">
        <v>5</v>
      </c>
      <c r="G350" s="18" t="s">
        <v>11</v>
      </c>
      <c r="H350" s="18" t="s">
        <v>12</v>
      </c>
      <c r="I350" s="18" t="s">
        <v>0</v>
      </c>
      <c r="J350" s="15"/>
      <c r="K350" s="27"/>
    </row>
    <row r="351" spans="1:13" s="2" customFormat="1" ht="14.25" customHeight="1" x14ac:dyDescent="0.25">
      <c r="A351" s="41"/>
      <c r="B351" s="42"/>
      <c r="C351" s="26"/>
      <c r="D351" s="26"/>
      <c r="E351" s="26"/>
      <c r="F351" s="26">
        <v>1</v>
      </c>
      <c r="G351" s="26"/>
      <c r="H351" s="26"/>
      <c r="I351" s="26">
        <f>ROUND(PRODUCT(C351:H351),2)</f>
        <v>1</v>
      </c>
      <c r="J351" s="15"/>
      <c r="K351" s="27"/>
    </row>
    <row r="352" spans="1:13" s="2" customFormat="1" ht="14.25" hidden="1" customHeight="1" x14ac:dyDescent="0.25">
      <c r="A352" s="41"/>
      <c r="B352" s="42"/>
      <c r="C352" s="26"/>
      <c r="D352" s="26"/>
      <c r="E352" s="26"/>
      <c r="F352" s="26"/>
      <c r="G352" s="26"/>
      <c r="H352" s="26"/>
      <c r="I352" s="26">
        <f>ROUND(PRODUCT(C352:H352),2)</f>
        <v>0</v>
      </c>
      <c r="J352" s="15"/>
      <c r="K352" s="27"/>
    </row>
    <row r="353" spans="1:13" ht="15" hidden="1" customHeight="1" x14ac:dyDescent="0.4">
      <c r="A353" s="41"/>
      <c r="B353" s="42"/>
      <c r="C353" s="26"/>
      <c r="D353" s="26"/>
      <c r="E353" s="26"/>
      <c r="F353" s="26"/>
      <c r="G353" s="26"/>
      <c r="H353" s="26"/>
      <c r="I353" s="26">
        <f>ROUND(PRODUCT(C353:H353),2)</f>
        <v>0</v>
      </c>
      <c r="K353" s="27"/>
    </row>
    <row r="354" spans="1:13" ht="15" customHeight="1" x14ac:dyDescent="0.4">
      <c r="A354" s="3"/>
      <c r="B354" s="3"/>
      <c r="C354" s="20"/>
      <c r="D354" s="20"/>
      <c r="E354" s="20"/>
      <c r="F354" s="20"/>
      <c r="G354" s="20"/>
      <c r="H354" s="19" t="str">
        <f>MASTER!$C51</f>
        <v>UN</v>
      </c>
      <c r="I354" s="19">
        <f>ROUND(SUM(I351:I353),2)</f>
        <v>1</v>
      </c>
      <c r="J354" s="16"/>
      <c r="K354" s="27"/>
      <c r="L354" s="13"/>
      <c r="M354" s="13"/>
    </row>
    <row r="355" spans="1:13" ht="15" customHeight="1" x14ac:dyDescent="0.4">
      <c r="A355" s="21"/>
      <c r="B355" s="21"/>
      <c r="C355" s="25"/>
      <c r="D355" s="25"/>
      <c r="E355" s="25"/>
      <c r="F355" s="25"/>
      <c r="G355" s="25"/>
      <c r="H355" s="25"/>
      <c r="I355" s="25"/>
      <c r="K355" s="27"/>
      <c r="L355" s="13"/>
      <c r="M355" s="13"/>
    </row>
    <row r="356" spans="1:13" ht="27" customHeight="1" x14ac:dyDescent="0.4">
      <c r="A356" s="4" t="str">
        <f>MASTER!$A52</f>
        <v>01-13-06-074 C H</v>
      </c>
      <c r="B356" s="43" t="str">
        <f>MASTER!$B52</f>
        <v>KIT DE ACESSORIOS PARA BANHEIRO EM METAL CROMADO, 5 PECAS, INCLUSO FIXA€ÇO. AF_01/2020 CS: 95546</v>
      </c>
      <c r="C356" s="44"/>
      <c r="D356" s="44"/>
      <c r="E356" s="44"/>
      <c r="F356" s="44"/>
      <c r="G356" s="44"/>
      <c r="H356" s="44"/>
      <c r="I356" s="45"/>
      <c r="J356" s="15">
        <f>MASTER!$D52</f>
        <v>1</v>
      </c>
      <c r="K356" s="27" t="str">
        <f>IF(I361&lt;&gt;J356, "ERRO", "OK")</f>
        <v>OK</v>
      </c>
      <c r="L356" s="13"/>
      <c r="M356" s="13"/>
    </row>
    <row r="357" spans="1:13" s="2" customFormat="1" ht="14.25" customHeight="1" x14ac:dyDescent="0.25">
      <c r="A357" s="46" t="s">
        <v>1</v>
      </c>
      <c r="B357" s="46"/>
      <c r="C357" s="18" t="s">
        <v>4</v>
      </c>
      <c r="D357" s="18" t="s">
        <v>2</v>
      </c>
      <c r="E357" s="18" t="s">
        <v>3</v>
      </c>
      <c r="F357" s="18" t="s">
        <v>5</v>
      </c>
      <c r="G357" s="18" t="s">
        <v>11</v>
      </c>
      <c r="H357" s="18" t="s">
        <v>12</v>
      </c>
      <c r="I357" s="18" t="s">
        <v>0</v>
      </c>
      <c r="J357" s="15"/>
      <c r="K357" s="27"/>
      <c r="L357" s="13"/>
      <c r="M357" s="13"/>
    </row>
    <row r="358" spans="1:13" s="2" customFormat="1" ht="14.25" customHeight="1" x14ac:dyDescent="0.25">
      <c r="A358" s="41"/>
      <c r="B358" s="42"/>
      <c r="C358" s="26"/>
      <c r="D358" s="26"/>
      <c r="E358" s="26"/>
      <c r="F358" s="26">
        <v>1</v>
      </c>
      <c r="G358" s="26"/>
      <c r="H358" s="26"/>
      <c r="I358" s="26">
        <f>ROUND(PRODUCT(C358:H358),2)</f>
        <v>1</v>
      </c>
      <c r="J358" s="15"/>
      <c r="K358" s="27"/>
      <c r="L358" s="13"/>
      <c r="M358" s="13"/>
    </row>
    <row r="359" spans="1:13" s="2" customFormat="1" ht="14.25" hidden="1" customHeight="1" x14ac:dyDescent="0.4">
      <c r="A359" s="41"/>
      <c r="B359" s="42"/>
      <c r="C359" s="26"/>
      <c r="D359" s="26"/>
      <c r="E359" s="26"/>
      <c r="F359" s="26"/>
      <c r="G359" s="26"/>
      <c r="H359" s="26"/>
      <c r="I359" s="26">
        <f>ROUND(PRODUCT(C359:H359),2)</f>
        <v>0</v>
      </c>
      <c r="J359" s="15"/>
      <c r="K359" s="28"/>
      <c r="L359" s="13"/>
      <c r="M359" s="13"/>
    </row>
    <row r="360" spans="1:13" ht="15" hidden="1" customHeight="1" x14ac:dyDescent="0.4">
      <c r="A360" s="41"/>
      <c r="B360" s="42"/>
      <c r="C360" s="26"/>
      <c r="D360" s="26"/>
      <c r="E360" s="26"/>
      <c r="F360" s="26"/>
      <c r="G360" s="26"/>
      <c r="H360" s="26"/>
      <c r="I360" s="26">
        <f>ROUND(PRODUCT(C360:H360),2)</f>
        <v>0</v>
      </c>
      <c r="L360" s="13"/>
      <c r="M360" s="13"/>
    </row>
    <row r="361" spans="1:13" ht="15" customHeight="1" x14ac:dyDescent="0.4">
      <c r="A361" s="3"/>
      <c r="B361" s="3"/>
      <c r="C361" s="20"/>
      <c r="D361" s="20"/>
      <c r="E361" s="20"/>
      <c r="F361" s="20"/>
      <c r="G361" s="20"/>
      <c r="H361" s="19" t="str">
        <f>MASTER!$C52</f>
        <v>UN</v>
      </c>
      <c r="I361" s="19">
        <f>ROUND(SUM(I358:I360),2)</f>
        <v>1</v>
      </c>
      <c r="J361" s="16"/>
      <c r="K361" s="29"/>
      <c r="L361" s="13"/>
      <c r="M361" s="13"/>
    </row>
    <row r="362" spans="1:13" ht="15" customHeight="1" x14ac:dyDescent="0.4">
      <c r="A362" s="21"/>
      <c r="B362" s="21"/>
      <c r="C362" s="25"/>
      <c r="D362" s="25"/>
      <c r="E362" s="25"/>
      <c r="F362" s="25"/>
      <c r="G362" s="25"/>
      <c r="H362" s="25"/>
      <c r="I362" s="25"/>
    </row>
    <row r="363" spans="1:13" ht="27" customHeight="1" x14ac:dyDescent="0.4">
      <c r="A363" s="4" t="str">
        <f>MASTER!$A53</f>
        <v>01-07-04-005 C H</v>
      </c>
      <c r="B363" s="43" t="str">
        <f>MASTER!$B53</f>
        <v>JANELA DE A€O GALVANIZADO TIPO MAXIM-AR, COM BATENTE, FERRAGENS, PINTURA ANTICORROSIVA E GRADE, 1 FOLHA, EXCLUSIVE ALIZAR E CONTRAMARCO, FIXA€ÇO COM ARGAMASSA - FORNECIMENTO E INSTALA€ÇO. AF_11/2024 C</v>
      </c>
      <c r="C363" s="44"/>
      <c r="D363" s="44"/>
      <c r="E363" s="44"/>
      <c r="F363" s="44"/>
      <c r="G363" s="44"/>
      <c r="H363" s="44"/>
      <c r="I363" s="45"/>
      <c r="J363" s="15">
        <f>MASTER!$D53</f>
        <v>4</v>
      </c>
      <c r="K363" s="27" t="str">
        <f>IF(I368&lt;&gt;J363, "ERRO", "OK")</f>
        <v>OK</v>
      </c>
    </row>
    <row r="364" spans="1:13" s="2" customFormat="1" ht="14.25" customHeight="1" x14ac:dyDescent="0.25">
      <c r="A364" s="46" t="s">
        <v>1</v>
      </c>
      <c r="B364" s="46"/>
      <c r="C364" s="18" t="s">
        <v>4</v>
      </c>
      <c r="D364" s="18" t="s">
        <v>2</v>
      </c>
      <c r="E364" s="18" t="s">
        <v>3</v>
      </c>
      <c r="F364" s="18" t="s">
        <v>5</v>
      </c>
      <c r="G364" s="18" t="s">
        <v>11</v>
      </c>
      <c r="H364" s="18" t="s">
        <v>12</v>
      </c>
      <c r="I364" s="18" t="s">
        <v>0</v>
      </c>
      <c r="J364" s="15"/>
      <c r="K364" s="27"/>
    </row>
    <row r="365" spans="1:13" s="2" customFormat="1" ht="14.25" customHeight="1" x14ac:dyDescent="0.25">
      <c r="A365" s="41"/>
      <c r="B365" s="42"/>
      <c r="C365" s="26"/>
      <c r="D365" s="26"/>
      <c r="E365" s="26"/>
      <c r="F365" s="26">
        <v>4</v>
      </c>
      <c r="G365" s="26"/>
      <c r="H365" s="26"/>
      <c r="I365" s="26">
        <f>ROUND(PRODUCT(C365:H365),2)</f>
        <v>4</v>
      </c>
      <c r="J365" s="15"/>
      <c r="K365" s="27"/>
    </row>
    <row r="366" spans="1:13" s="2" customFormat="1" ht="14.25" hidden="1" customHeight="1" x14ac:dyDescent="0.25">
      <c r="A366" s="41"/>
      <c r="B366" s="42"/>
      <c r="C366" s="26"/>
      <c r="D366" s="26"/>
      <c r="E366" s="26"/>
      <c r="F366" s="26"/>
      <c r="G366" s="26"/>
      <c r="H366" s="26"/>
      <c r="I366" s="26">
        <f>ROUND(PRODUCT(C366:H366),2)</f>
        <v>0</v>
      </c>
      <c r="J366" s="15"/>
      <c r="K366" s="27"/>
    </row>
    <row r="367" spans="1:13" ht="15" hidden="1" customHeight="1" x14ac:dyDescent="0.4">
      <c r="A367" s="41"/>
      <c r="B367" s="42"/>
      <c r="C367" s="26"/>
      <c r="D367" s="26"/>
      <c r="E367" s="26"/>
      <c r="F367" s="26"/>
      <c r="G367" s="26"/>
      <c r="H367" s="26"/>
      <c r="I367" s="26">
        <f>ROUND(PRODUCT(C367:H367),2)</f>
        <v>0</v>
      </c>
      <c r="K367" s="27"/>
    </row>
    <row r="368" spans="1:13" ht="15" customHeight="1" x14ac:dyDescent="0.4">
      <c r="A368" s="3"/>
      <c r="B368" s="3"/>
      <c r="C368" s="20"/>
      <c r="D368" s="20"/>
      <c r="E368" s="20"/>
      <c r="F368" s="20"/>
      <c r="G368" s="20"/>
      <c r="H368" s="19" t="str">
        <f>MASTER!$C53</f>
        <v>M2</v>
      </c>
      <c r="I368" s="19">
        <f>ROUND(SUM(I365:I367),2)</f>
        <v>4</v>
      </c>
      <c r="J368" s="16"/>
      <c r="K368" s="27"/>
      <c r="L368" s="13"/>
      <c r="M368" s="13"/>
    </row>
    <row r="369" spans="1:13" ht="15" customHeight="1" x14ac:dyDescent="0.4">
      <c r="A369" s="21"/>
      <c r="B369" s="21"/>
      <c r="C369" s="25"/>
      <c r="D369" s="25"/>
      <c r="E369" s="25"/>
      <c r="F369" s="25"/>
      <c r="G369" s="25"/>
      <c r="H369" s="25"/>
      <c r="I369" s="25"/>
      <c r="K369" s="27"/>
      <c r="L369" s="13"/>
      <c r="M369" s="13"/>
    </row>
    <row r="370" spans="1:13" ht="27" customHeight="1" x14ac:dyDescent="0.4">
      <c r="A370" s="4" t="str">
        <f>MASTER!$A54</f>
        <v>01-07-09-031 C H</v>
      </c>
      <c r="B370" s="43" t="str">
        <f>MASTER!$B54</f>
        <v>PORTA DE ABRIR COM MOLA HIDRµULICA, EM VIDRO TEMPERADO, 90X210 CM, ESPESSURA 10MM, INCLUSIVE ACESSàRIOS. AF_01/2021 CS: 102184</v>
      </c>
      <c r="C370" s="44"/>
      <c r="D370" s="44"/>
      <c r="E370" s="44"/>
      <c r="F370" s="44"/>
      <c r="G370" s="44"/>
      <c r="H370" s="44"/>
      <c r="I370" s="45"/>
      <c r="J370" s="15">
        <f>MASTER!$D54</f>
        <v>1</v>
      </c>
      <c r="K370" s="27" t="str">
        <f>IF(I375&lt;&gt;J370, "ERRO", "OK")</f>
        <v>OK</v>
      </c>
      <c r="L370" s="13"/>
      <c r="M370" s="13"/>
    </row>
    <row r="371" spans="1:13" s="2" customFormat="1" ht="14.25" customHeight="1" x14ac:dyDescent="0.25">
      <c r="A371" s="46" t="s">
        <v>1</v>
      </c>
      <c r="B371" s="46"/>
      <c r="C371" s="18" t="s">
        <v>4</v>
      </c>
      <c r="D371" s="18" t="s">
        <v>2</v>
      </c>
      <c r="E371" s="18" t="s">
        <v>3</v>
      </c>
      <c r="F371" s="18" t="s">
        <v>5</v>
      </c>
      <c r="G371" s="18" t="s">
        <v>11</v>
      </c>
      <c r="H371" s="18" t="s">
        <v>12</v>
      </c>
      <c r="I371" s="18" t="s">
        <v>0</v>
      </c>
      <c r="J371" s="15"/>
      <c r="K371" s="27"/>
      <c r="L371" s="13"/>
      <c r="M371" s="13"/>
    </row>
    <row r="372" spans="1:13" s="2" customFormat="1" ht="14.25" customHeight="1" x14ac:dyDescent="0.25">
      <c r="A372" s="41"/>
      <c r="B372" s="42"/>
      <c r="C372" s="26"/>
      <c r="D372" s="26"/>
      <c r="E372" s="26"/>
      <c r="F372" s="26">
        <v>1</v>
      </c>
      <c r="G372" s="26"/>
      <c r="H372" s="26"/>
      <c r="I372" s="26">
        <f>ROUND(PRODUCT(C372:H372),2)</f>
        <v>1</v>
      </c>
      <c r="J372" s="15"/>
      <c r="K372" s="27"/>
      <c r="L372" s="13"/>
      <c r="M372" s="13"/>
    </row>
    <row r="373" spans="1:13" s="2" customFormat="1" ht="14.25" hidden="1" customHeight="1" x14ac:dyDescent="0.4">
      <c r="A373" s="41"/>
      <c r="B373" s="42"/>
      <c r="C373" s="26"/>
      <c r="D373" s="26"/>
      <c r="E373" s="26"/>
      <c r="F373" s="26"/>
      <c r="G373" s="26"/>
      <c r="H373" s="26"/>
      <c r="I373" s="26">
        <f>ROUND(PRODUCT(C373:H373),2)</f>
        <v>0</v>
      </c>
      <c r="J373" s="15"/>
      <c r="K373" s="28"/>
      <c r="L373" s="13"/>
      <c r="M373" s="13"/>
    </row>
    <row r="374" spans="1:13" ht="15" hidden="1" customHeight="1" x14ac:dyDescent="0.4">
      <c r="A374" s="41"/>
      <c r="B374" s="42"/>
      <c r="C374" s="26"/>
      <c r="D374" s="26"/>
      <c r="E374" s="26"/>
      <c r="F374" s="26"/>
      <c r="G374" s="26"/>
      <c r="H374" s="26"/>
      <c r="I374" s="26">
        <f>ROUND(PRODUCT(C374:H374),2)</f>
        <v>0</v>
      </c>
      <c r="L374" s="13"/>
      <c r="M374" s="13"/>
    </row>
    <row r="375" spans="1:13" ht="15" customHeight="1" x14ac:dyDescent="0.4">
      <c r="A375" s="3"/>
      <c r="B375" s="3"/>
      <c r="C375" s="20"/>
      <c r="D375" s="20"/>
      <c r="E375" s="20"/>
      <c r="F375" s="20"/>
      <c r="G375" s="20"/>
      <c r="H375" s="19" t="str">
        <f>MASTER!$C54</f>
        <v>UN</v>
      </c>
      <c r="I375" s="19">
        <f>ROUND(SUM(I372:I374),2)</f>
        <v>1</v>
      </c>
      <c r="J375" s="16"/>
      <c r="K375" s="29"/>
      <c r="L375" s="13"/>
      <c r="M375" s="13"/>
    </row>
    <row r="376" spans="1:13" ht="15" customHeight="1" x14ac:dyDescent="0.4">
      <c r="A376" s="21"/>
      <c r="B376" s="21"/>
      <c r="C376" s="25"/>
      <c r="D376" s="25"/>
      <c r="E376" s="25"/>
      <c r="F376" s="25"/>
      <c r="G376" s="25"/>
      <c r="H376" s="25"/>
      <c r="I376" s="25"/>
    </row>
    <row r="377" spans="1:13" ht="23.25" customHeight="1" x14ac:dyDescent="0.4">
      <c r="A377" s="4" t="str">
        <f>MASTER!$A55</f>
        <v>64-23-74-009 O H</v>
      </c>
      <c r="B377" s="43" t="str">
        <f>MASTER!$B55</f>
        <v>RETIRADA DE CONJUNTO DE ELETRODUTOS,ACESSàRIOS E CABOS</v>
      </c>
      <c r="C377" s="44"/>
      <c r="D377" s="44"/>
      <c r="E377" s="44"/>
      <c r="F377" s="44"/>
      <c r="G377" s="44"/>
      <c r="H377" s="44"/>
      <c r="I377" s="45"/>
      <c r="J377" s="15">
        <f>MASTER!$D55</f>
        <v>1</v>
      </c>
      <c r="K377" s="27" t="str">
        <f>IF(I382&lt;&gt;J377, "ERRO", "OK")</f>
        <v>OK</v>
      </c>
    </row>
    <row r="378" spans="1:13" s="2" customFormat="1" ht="14.25" customHeight="1" x14ac:dyDescent="0.25">
      <c r="A378" s="46" t="s">
        <v>1</v>
      </c>
      <c r="B378" s="46"/>
      <c r="C378" s="18" t="s">
        <v>4</v>
      </c>
      <c r="D378" s="18" t="s">
        <v>2</v>
      </c>
      <c r="E378" s="18" t="s">
        <v>3</v>
      </c>
      <c r="F378" s="18" t="s">
        <v>5</v>
      </c>
      <c r="G378" s="18" t="s">
        <v>11</v>
      </c>
      <c r="H378" s="18" t="s">
        <v>12</v>
      </c>
      <c r="I378" s="18" t="s">
        <v>0</v>
      </c>
      <c r="J378" s="15"/>
      <c r="K378" s="27"/>
    </row>
    <row r="379" spans="1:13" s="2" customFormat="1" ht="14.25" customHeight="1" x14ac:dyDescent="0.25">
      <c r="A379" s="41"/>
      <c r="B379" s="42"/>
      <c r="C379" s="26"/>
      <c r="D379" s="26"/>
      <c r="E379" s="26"/>
      <c r="F379" s="26">
        <v>1</v>
      </c>
      <c r="G379" s="26"/>
      <c r="H379" s="26"/>
      <c r="I379" s="26">
        <f>ROUND(PRODUCT(C379:H379),2)</f>
        <v>1</v>
      </c>
      <c r="J379" s="15"/>
      <c r="K379" s="27"/>
    </row>
    <row r="380" spans="1:13" s="2" customFormat="1" ht="14.25" hidden="1" customHeight="1" x14ac:dyDescent="0.25">
      <c r="A380" s="41"/>
      <c r="B380" s="42"/>
      <c r="C380" s="26"/>
      <c r="D380" s="26"/>
      <c r="E380" s="26"/>
      <c r="F380" s="26"/>
      <c r="G380" s="26"/>
      <c r="H380" s="26"/>
      <c r="I380" s="26">
        <f>ROUND(PRODUCT(C380:H380),2)</f>
        <v>0</v>
      </c>
      <c r="J380" s="15"/>
      <c r="K380" s="27"/>
    </row>
    <row r="381" spans="1:13" ht="15" hidden="1" customHeight="1" x14ac:dyDescent="0.4">
      <c r="A381" s="41"/>
      <c r="B381" s="42"/>
      <c r="C381" s="26"/>
      <c r="D381" s="26"/>
      <c r="E381" s="26"/>
      <c r="F381" s="26"/>
      <c r="G381" s="26"/>
      <c r="H381" s="26"/>
      <c r="I381" s="26">
        <f>ROUND(PRODUCT(C381:H381),2)</f>
        <v>0</v>
      </c>
      <c r="K381" s="27"/>
    </row>
    <row r="382" spans="1:13" ht="15" customHeight="1" x14ac:dyDescent="0.4">
      <c r="A382" s="3"/>
      <c r="B382" s="3"/>
      <c r="C382" s="20"/>
      <c r="D382" s="20"/>
      <c r="E382" s="20"/>
      <c r="F382" s="20"/>
      <c r="G382" s="20"/>
      <c r="H382" s="19" t="str">
        <f>MASTER!$C55</f>
        <v>M</v>
      </c>
      <c r="I382" s="19">
        <f>ROUND(SUM(I379:I381),2)</f>
        <v>1</v>
      </c>
      <c r="J382" s="16"/>
      <c r="K382" s="27"/>
      <c r="L382" s="13"/>
      <c r="M382" s="13"/>
    </row>
    <row r="383" spans="1:13" ht="15" customHeight="1" x14ac:dyDescent="0.4">
      <c r="A383" s="21"/>
      <c r="B383" s="21"/>
      <c r="C383" s="25"/>
      <c r="D383" s="25"/>
      <c r="E383" s="25"/>
      <c r="F383" s="25"/>
      <c r="G383" s="25"/>
      <c r="H383" s="25"/>
      <c r="I383" s="25"/>
      <c r="K383" s="27"/>
      <c r="L383" s="13"/>
      <c r="M383" s="13"/>
    </row>
    <row r="384" spans="1:13" ht="27" customHeight="1" x14ac:dyDescent="0.4">
      <c r="A384" s="4" t="str">
        <f>MASTER!$A56</f>
        <v>66-24-20-801 O H</v>
      </c>
      <c r="B384" s="43" t="str">
        <f>MASTER!$B56</f>
        <v>CHUVEIRO ELETRâNICO, 127 (5500W) OU 220V(7800W), LORENZETTI ACQUA STORM ULTRA OU SIMILAR TCNICO -FORNECIMENTO E INSTALA€ÇO</v>
      </c>
      <c r="C384" s="44"/>
      <c r="D384" s="44"/>
      <c r="E384" s="44"/>
      <c r="F384" s="44"/>
      <c r="G384" s="44"/>
      <c r="H384" s="44"/>
      <c r="I384" s="45"/>
      <c r="J384" s="15">
        <f>MASTER!$D56</f>
        <v>1</v>
      </c>
      <c r="K384" s="27" t="str">
        <f>IF(I389&lt;&gt;J384, "ERRO", "OK")</f>
        <v>OK</v>
      </c>
      <c r="L384" s="13"/>
      <c r="M384" s="13"/>
    </row>
    <row r="385" spans="1:13" s="2" customFormat="1" ht="14.25" customHeight="1" x14ac:dyDescent="0.25">
      <c r="A385" s="46" t="s">
        <v>1</v>
      </c>
      <c r="B385" s="46"/>
      <c r="C385" s="18" t="s">
        <v>4</v>
      </c>
      <c r="D385" s="18" t="s">
        <v>2</v>
      </c>
      <c r="E385" s="18" t="s">
        <v>3</v>
      </c>
      <c r="F385" s="18" t="s">
        <v>5</v>
      </c>
      <c r="G385" s="18" t="s">
        <v>11</v>
      </c>
      <c r="H385" s="18" t="s">
        <v>12</v>
      </c>
      <c r="I385" s="18" t="s">
        <v>0</v>
      </c>
      <c r="J385" s="15"/>
      <c r="K385" s="27"/>
      <c r="L385" s="13"/>
      <c r="M385" s="13"/>
    </row>
    <row r="386" spans="1:13" s="2" customFormat="1" ht="14.25" customHeight="1" x14ac:dyDescent="0.25">
      <c r="A386" s="41"/>
      <c r="B386" s="42"/>
      <c r="C386" s="26"/>
      <c r="D386" s="26"/>
      <c r="E386" s="26"/>
      <c r="F386" s="26">
        <v>1</v>
      </c>
      <c r="G386" s="26"/>
      <c r="H386" s="26"/>
      <c r="I386" s="26">
        <f>ROUND(PRODUCT(C386:H386),2)</f>
        <v>1</v>
      </c>
      <c r="J386" s="15"/>
      <c r="K386" s="27"/>
      <c r="L386" s="13"/>
      <c r="M386" s="13"/>
    </row>
    <row r="387" spans="1:13" s="2" customFormat="1" ht="14.25" hidden="1" customHeight="1" x14ac:dyDescent="0.4">
      <c r="A387" s="41"/>
      <c r="B387" s="42"/>
      <c r="C387" s="26"/>
      <c r="D387" s="26"/>
      <c r="E387" s="26"/>
      <c r="F387" s="26"/>
      <c r="G387" s="26"/>
      <c r="H387" s="26"/>
      <c r="I387" s="26">
        <f>ROUND(PRODUCT(C387:H387),2)</f>
        <v>0</v>
      </c>
      <c r="J387" s="15"/>
      <c r="K387" s="28"/>
      <c r="L387" s="13"/>
      <c r="M387" s="13"/>
    </row>
    <row r="388" spans="1:13" ht="15" hidden="1" customHeight="1" x14ac:dyDescent="0.4">
      <c r="A388" s="41"/>
      <c r="B388" s="42"/>
      <c r="C388" s="26"/>
      <c r="D388" s="26"/>
      <c r="E388" s="26"/>
      <c r="F388" s="26"/>
      <c r="G388" s="26"/>
      <c r="H388" s="26"/>
      <c r="I388" s="26">
        <f>ROUND(PRODUCT(C388:H388),2)</f>
        <v>0</v>
      </c>
      <c r="L388" s="13"/>
      <c r="M388" s="13"/>
    </row>
    <row r="389" spans="1:13" ht="15" customHeight="1" x14ac:dyDescent="0.4">
      <c r="A389" s="3"/>
      <c r="B389" s="3"/>
      <c r="C389" s="20"/>
      <c r="D389" s="20"/>
      <c r="E389" s="20"/>
      <c r="F389" s="20"/>
      <c r="G389" s="20"/>
      <c r="H389" s="19" t="str">
        <f>MASTER!$C56</f>
        <v>UN</v>
      </c>
      <c r="I389" s="19">
        <f>ROUND(SUM(I386:I388),2)</f>
        <v>1</v>
      </c>
      <c r="J389" s="16"/>
      <c r="K389" s="29"/>
      <c r="L389" s="13"/>
      <c r="M389" s="13"/>
    </row>
    <row r="390" spans="1:13" ht="15" customHeight="1" x14ac:dyDescent="0.4">
      <c r="A390" s="21"/>
      <c r="B390" s="21"/>
      <c r="C390" s="25"/>
      <c r="D390" s="25"/>
      <c r="E390" s="25"/>
      <c r="F390" s="25"/>
      <c r="G390" s="25"/>
      <c r="H390" s="25"/>
      <c r="I390" s="25"/>
    </row>
    <row r="391" spans="1:13" ht="23.25" customHeight="1" x14ac:dyDescent="0.4">
      <c r="A391" s="40" t="str">
        <f>MASTER!$A57</f>
        <v>001-007</v>
      </c>
      <c r="B391" s="47" t="str">
        <f>MASTER!$B57</f>
        <v>INSTALAÇÃO ELÉTRICA</v>
      </c>
      <c r="C391" s="48"/>
      <c r="D391" s="48"/>
      <c r="E391" s="48"/>
      <c r="F391" s="48"/>
      <c r="G391" s="48"/>
      <c r="H391" s="48"/>
      <c r="I391" s="49"/>
      <c r="J391" s="15">
        <f>MASTER!$D57</f>
        <v>0</v>
      </c>
      <c r="K391" s="27" t="str">
        <f>IF(I396&lt;&gt;J391, "ERRO", "OK")</f>
        <v>OK</v>
      </c>
    </row>
    <row r="392" spans="1:13" s="2" customFormat="1" ht="14.25" hidden="1" customHeight="1" x14ac:dyDescent="0.25">
      <c r="A392" s="46" t="s">
        <v>1</v>
      </c>
      <c r="B392" s="46"/>
      <c r="C392" s="18" t="s">
        <v>4</v>
      </c>
      <c r="D392" s="18" t="s">
        <v>2</v>
      </c>
      <c r="E392" s="18" t="s">
        <v>3</v>
      </c>
      <c r="F392" s="18" t="s">
        <v>5</v>
      </c>
      <c r="G392" s="18" t="s">
        <v>11</v>
      </c>
      <c r="H392" s="18" t="s">
        <v>12</v>
      </c>
      <c r="I392" s="18" t="s">
        <v>0</v>
      </c>
      <c r="J392" s="15"/>
      <c r="K392" s="27"/>
    </row>
    <row r="393" spans="1:13" s="2" customFormat="1" ht="14.25" hidden="1" customHeight="1" x14ac:dyDescent="0.25">
      <c r="A393" s="41"/>
      <c r="B393" s="42"/>
      <c r="C393" s="26"/>
      <c r="D393" s="26"/>
      <c r="E393" s="26"/>
      <c r="F393" s="26"/>
      <c r="G393" s="26"/>
      <c r="H393" s="26"/>
      <c r="I393" s="26">
        <f>ROUND(PRODUCT(C393:H393),2)</f>
        <v>0</v>
      </c>
      <c r="J393" s="15"/>
      <c r="K393" s="27"/>
    </row>
    <row r="394" spans="1:13" s="2" customFormat="1" ht="14.25" hidden="1" customHeight="1" x14ac:dyDescent="0.25">
      <c r="A394" s="41"/>
      <c r="B394" s="42"/>
      <c r="C394" s="26"/>
      <c r="D394" s="26"/>
      <c r="E394" s="26"/>
      <c r="F394" s="26"/>
      <c r="G394" s="26"/>
      <c r="H394" s="26"/>
      <c r="I394" s="26">
        <f>ROUND(PRODUCT(C394:H394),2)</f>
        <v>0</v>
      </c>
      <c r="J394" s="15"/>
      <c r="K394" s="27"/>
    </row>
    <row r="395" spans="1:13" ht="15" hidden="1" customHeight="1" x14ac:dyDescent="0.4">
      <c r="A395" s="41"/>
      <c r="B395" s="42"/>
      <c r="C395" s="26"/>
      <c r="D395" s="26"/>
      <c r="E395" s="26"/>
      <c r="F395" s="26"/>
      <c r="G395" s="26"/>
      <c r="H395" s="26"/>
      <c r="I395" s="26">
        <f>ROUND(PRODUCT(C395:H395),2)</f>
        <v>0</v>
      </c>
      <c r="K395" s="27"/>
    </row>
    <row r="396" spans="1:13" ht="15" hidden="1" customHeight="1" x14ac:dyDescent="0.4">
      <c r="A396" s="3"/>
      <c r="B396" s="3"/>
      <c r="C396" s="20"/>
      <c r="D396" s="20"/>
      <c r="E396" s="20"/>
      <c r="F396" s="20"/>
      <c r="G396" s="20"/>
      <c r="H396" s="19">
        <f>MASTER!$C57</f>
        <v>0</v>
      </c>
      <c r="I396" s="19">
        <f>ROUND(SUM(I393:I395),2)</f>
        <v>0</v>
      </c>
      <c r="J396" s="16"/>
      <c r="K396" s="27"/>
      <c r="L396" s="13"/>
      <c r="M396" s="13"/>
    </row>
    <row r="397" spans="1:13" ht="15" hidden="1" customHeight="1" x14ac:dyDescent="0.4">
      <c r="A397" s="21"/>
      <c r="B397" s="21"/>
      <c r="C397" s="25"/>
      <c r="D397" s="25"/>
      <c r="E397" s="25"/>
      <c r="F397" s="25"/>
      <c r="G397" s="25"/>
      <c r="H397" s="25"/>
      <c r="I397" s="25"/>
      <c r="K397" s="27"/>
      <c r="L397" s="13"/>
      <c r="M397" s="13"/>
    </row>
    <row r="398" spans="1:13" ht="27" customHeight="1" x14ac:dyDescent="0.4">
      <c r="A398" s="4" t="str">
        <f>MASTER!$A58</f>
        <v>62-23-65-118 U H</v>
      </c>
      <c r="B398" s="43" t="str">
        <f>MASTER!$B58</f>
        <v>LUMINµRIA COMPLETA DE SOBREPOR COM 2 L¶MPADAS TUBULARES LED DE 18W E CORPO EM CHAPA DE A€O TRATADA COM PINTURA ELETROSTµTICA, DOTADAS DE REFLETOR E ALETAS EM ALUMÖNIO DE ALTO BRILHO</v>
      </c>
      <c r="C398" s="44"/>
      <c r="D398" s="44"/>
      <c r="E398" s="44"/>
      <c r="F398" s="44"/>
      <c r="G398" s="44"/>
      <c r="H398" s="44"/>
      <c r="I398" s="45"/>
      <c r="J398" s="15">
        <f>MASTER!$D58</f>
        <v>25</v>
      </c>
      <c r="K398" s="27" t="str">
        <f>IF(I403&lt;&gt;J398, "ERRO", "OK")</f>
        <v>OK</v>
      </c>
      <c r="L398" s="13"/>
      <c r="M398" s="13"/>
    </row>
    <row r="399" spans="1:13" s="2" customFormat="1" ht="14.25" customHeight="1" x14ac:dyDescent="0.25">
      <c r="A399" s="46" t="s">
        <v>1</v>
      </c>
      <c r="B399" s="46"/>
      <c r="C399" s="18" t="s">
        <v>4</v>
      </c>
      <c r="D399" s="18" t="s">
        <v>2</v>
      </c>
      <c r="E399" s="18" t="s">
        <v>3</v>
      </c>
      <c r="F399" s="18" t="s">
        <v>5</v>
      </c>
      <c r="G399" s="18" t="s">
        <v>11</v>
      </c>
      <c r="H399" s="18" t="s">
        <v>12</v>
      </c>
      <c r="I399" s="18" t="s">
        <v>0</v>
      </c>
      <c r="J399" s="15"/>
      <c r="K399" s="27"/>
      <c r="L399" s="13"/>
      <c r="M399" s="13"/>
    </row>
    <row r="400" spans="1:13" s="2" customFormat="1" ht="14.25" customHeight="1" x14ac:dyDescent="0.25">
      <c r="A400" s="41"/>
      <c r="B400" s="42"/>
      <c r="C400" s="26"/>
      <c r="D400" s="26"/>
      <c r="E400" s="26"/>
      <c r="F400" s="26">
        <v>25</v>
      </c>
      <c r="G400" s="26"/>
      <c r="H400" s="26"/>
      <c r="I400" s="26">
        <f>ROUND(PRODUCT(C400:H400),2)</f>
        <v>25</v>
      </c>
      <c r="J400" s="15"/>
      <c r="K400" s="27"/>
      <c r="L400" s="13"/>
      <c r="M400" s="13"/>
    </row>
    <row r="401" spans="1:13" s="2" customFormat="1" ht="14.25" hidden="1" customHeight="1" x14ac:dyDescent="0.4">
      <c r="A401" s="41"/>
      <c r="B401" s="42"/>
      <c r="C401" s="26"/>
      <c r="D401" s="26"/>
      <c r="E401" s="26"/>
      <c r="F401" s="26"/>
      <c r="G401" s="26"/>
      <c r="H401" s="26"/>
      <c r="I401" s="26">
        <f>ROUND(PRODUCT(C401:H401),2)</f>
        <v>0</v>
      </c>
      <c r="J401" s="15"/>
      <c r="K401" s="28"/>
      <c r="L401" s="13"/>
      <c r="M401" s="13"/>
    </row>
    <row r="402" spans="1:13" ht="15" hidden="1" customHeight="1" x14ac:dyDescent="0.4">
      <c r="A402" s="41"/>
      <c r="B402" s="42"/>
      <c r="C402" s="26"/>
      <c r="D402" s="26"/>
      <c r="E402" s="26"/>
      <c r="F402" s="26"/>
      <c r="G402" s="26"/>
      <c r="H402" s="26"/>
      <c r="I402" s="26">
        <f>ROUND(PRODUCT(C402:H402),2)</f>
        <v>0</v>
      </c>
      <c r="L402" s="13"/>
      <c r="M402" s="13"/>
    </row>
    <row r="403" spans="1:13" ht="15" customHeight="1" x14ac:dyDescent="0.4">
      <c r="A403" s="3"/>
      <c r="B403" s="3"/>
      <c r="C403" s="20"/>
      <c r="D403" s="20"/>
      <c r="E403" s="20"/>
      <c r="F403" s="20"/>
      <c r="G403" s="20"/>
      <c r="H403" s="19" t="str">
        <f>MASTER!$C58</f>
        <v>UN</v>
      </c>
      <c r="I403" s="19">
        <f>ROUND(SUM(I400:I402),2)</f>
        <v>25</v>
      </c>
      <c r="J403" s="16"/>
      <c r="K403" s="29"/>
      <c r="L403" s="13"/>
      <c r="M403" s="13"/>
    </row>
    <row r="404" spans="1:13" ht="15" customHeight="1" x14ac:dyDescent="0.4">
      <c r="A404" s="21"/>
      <c r="B404" s="21"/>
      <c r="C404" s="25"/>
      <c r="D404" s="25"/>
      <c r="E404" s="25"/>
      <c r="F404" s="25"/>
      <c r="G404" s="25"/>
      <c r="H404" s="25"/>
      <c r="I404" s="25"/>
    </row>
    <row r="405" spans="1:13" ht="27" customHeight="1" x14ac:dyDescent="0.4">
      <c r="A405" s="4" t="str">
        <f>MASTER!$A59</f>
        <v>64-23-74-080 O H</v>
      </c>
      <c r="B405" s="43" t="str">
        <f>MASTER!$B59</f>
        <v>PONTO SECO PARA INSTALA€ÇO DE SOM,TV,ALARME E LàGICA, INCLUINDO ELETRODUTODE PVC RÖGIDO E CAIXA COM ESPELHO</v>
      </c>
      <c r="C405" s="44"/>
      <c r="D405" s="44"/>
      <c r="E405" s="44"/>
      <c r="F405" s="44"/>
      <c r="G405" s="44"/>
      <c r="H405" s="44"/>
      <c r="I405" s="45"/>
      <c r="J405" s="15">
        <f>MASTER!$D59</f>
        <v>4</v>
      </c>
      <c r="K405" s="27" t="str">
        <f>IF(I410&lt;&gt;J405, "ERRO", "OK")</f>
        <v>OK</v>
      </c>
    </row>
    <row r="406" spans="1:13" s="2" customFormat="1" ht="14.25" customHeight="1" x14ac:dyDescent="0.25">
      <c r="A406" s="46" t="s">
        <v>1</v>
      </c>
      <c r="B406" s="46"/>
      <c r="C406" s="18" t="s">
        <v>4</v>
      </c>
      <c r="D406" s="18" t="s">
        <v>2</v>
      </c>
      <c r="E406" s="18" t="s">
        <v>3</v>
      </c>
      <c r="F406" s="18" t="s">
        <v>5</v>
      </c>
      <c r="G406" s="18" t="s">
        <v>11</v>
      </c>
      <c r="H406" s="18" t="s">
        <v>12</v>
      </c>
      <c r="I406" s="18" t="s">
        <v>0</v>
      </c>
      <c r="J406" s="15"/>
      <c r="K406" s="27"/>
    </row>
    <row r="407" spans="1:13" s="2" customFormat="1" ht="14.25" customHeight="1" x14ac:dyDescent="0.25">
      <c r="A407" s="41"/>
      <c r="B407" s="42"/>
      <c r="C407" s="26"/>
      <c r="D407" s="26"/>
      <c r="E407" s="26"/>
      <c r="F407" s="26">
        <v>4</v>
      </c>
      <c r="G407" s="26"/>
      <c r="H407" s="26"/>
      <c r="I407" s="26">
        <f>ROUND(PRODUCT(C407:H407),2)</f>
        <v>4</v>
      </c>
      <c r="J407" s="15"/>
      <c r="K407" s="27"/>
    </row>
    <row r="408" spans="1:13" s="2" customFormat="1" ht="14.25" hidden="1" customHeight="1" x14ac:dyDescent="0.25">
      <c r="A408" s="41"/>
      <c r="B408" s="42"/>
      <c r="C408" s="26"/>
      <c r="D408" s="26"/>
      <c r="E408" s="26"/>
      <c r="F408" s="26"/>
      <c r="G408" s="26"/>
      <c r="H408" s="26"/>
      <c r="I408" s="26">
        <f>ROUND(PRODUCT(C408:H408),2)</f>
        <v>0</v>
      </c>
      <c r="J408" s="15"/>
      <c r="K408" s="27"/>
    </row>
    <row r="409" spans="1:13" ht="15" hidden="1" customHeight="1" x14ac:dyDescent="0.4">
      <c r="A409" s="41"/>
      <c r="B409" s="42"/>
      <c r="C409" s="26"/>
      <c r="D409" s="26"/>
      <c r="E409" s="26"/>
      <c r="F409" s="26"/>
      <c r="G409" s="26"/>
      <c r="H409" s="26"/>
      <c r="I409" s="26">
        <f>ROUND(PRODUCT(C409:H409),2)</f>
        <v>0</v>
      </c>
      <c r="K409" s="27"/>
    </row>
    <row r="410" spans="1:13" ht="15" customHeight="1" x14ac:dyDescent="0.4">
      <c r="A410" s="3"/>
      <c r="B410" s="3"/>
      <c r="C410" s="20"/>
      <c r="D410" s="20"/>
      <c r="E410" s="20"/>
      <c r="F410" s="20"/>
      <c r="G410" s="20"/>
      <c r="H410" s="19" t="str">
        <f>MASTER!$C59</f>
        <v>UN</v>
      </c>
      <c r="I410" s="19">
        <f>ROUND(SUM(I407:I409),2)</f>
        <v>4</v>
      </c>
      <c r="J410" s="16"/>
      <c r="K410" s="27"/>
      <c r="L410" s="13"/>
      <c r="M410" s="13"/>
    </row>
    <row r="411" spans="1:13" ht="15" customHeight="1" x14ac:dyDescent="0.4">
      <c r="A411" s="21"/>
      <c r="B411" s="21"/>
      <c r="C411" s="25"/>
      <c r="D411" s="25"/>
      <c r="E411" s="25"/>
      <c r="F411" s="25"/>
      <c r="G411" s="25"/>
      <c r="H411" s="25"/>
      <c r="I411" s="25"/>
      <c r="K411" s="27"/>
      <c r="L411" s="13"/>
      <c r="M411" s="13"/>
    </row>
    <row r="412" spans="1:13" ht="27" customHeight="1" x14ac:dyDescent="0.4">
      <c r="A412" s="4" t="str">
        <f>MASTER!$A60</f>
        <v>01-11-03-008 C H</v>
      </c>
      <c r="B412" s="43" t="str">
        <f>MASTER!$B60</f>
        <v>CABO DE COBRE FLEXÖVEL ISOLADO, 6 MMý, ANTI-CHAMA 0,6/1,0 KV, PARA CIRCUITOS TERMINAIS - FORNECIMENTO E INSTALA€ÇO. AF_03/2023 CS: 91931</v>
      </c>
      <c r="C412" s="44"/>
      <c r="D412" s="44"/>
      <c r="E412" s="44"/>
      <c r="F412" s="44"/>
      <c r="G412" s="44"/>
      <c r="H412" s="44"/>
      <c r="I412" s="45"/>
      <c r="J412" s="15">
        <f>MASTER!$D60</f>
        <v>250</v>
      </c>
      <c r="K412" s="27" t="str">
        <f>IF(I417&lt;&gt;J412, "ERRO", "OK")</f>
        <v>OK</v>
      </c>
      <c r="L412" s="13"/>
      <c r="M412" s="13"/>
    </row>
    <row r="413" spans="1:13" s="2" customFormat="1" ht="14.25" customHeight="1" x14ac:dyDescent="0.25">
      <c r="A413" s="46" t="s">
        <v>1</v>
      </c>
      <c r="B413" s="46"/>
      <c r="C413" s="18" t="s">
        <v>4</v>
      </c>
      <c r="D413" s="18" t="s">
        <v>2</v>
      </c>
      <c r="E413" s="18" t="s">
        <v>3</v>
      </c>
      <c r="F413" s="18" t="s">
        <v>5</v>
      </c>
      <c r="G413" s="18" t="s">
        <v>11</v>
      </c>
      <c r="H413" s="18" t="s">
        <v>12</v>
      </c>
      <c r="I413" s="18" t="s">
        <v>0</v>
      </c>
      <c r="J413" s="15"/>
      <c r="K413" s="27"/>
      <c r="L413" s="13"/>
      <c r="M413" s="13"/>
    </row>
    <row r="414" spans="1:13" s="2" customFormat="1" ht="14.25" customHeight="1" x14ac:dyDescent="0.25">
      <c r="A414" s="41"/>
      <c r="B414" s="42"/>
      <c r="C414" s="26"/>
      <c r="D414" s="26"/>
      <c r="E414" s="26"/>
      <c r="F414" s="26">
        <v>250</v>
      </c>
      <c r="G414" s="26"/>
      <c r="H414" s="26"/>
      <c r="I414" s="26">
        <f>ROUND(PRODUCT(C414:H414),2)</f>
        <v>250</v>
      </c>
      <c r="J414" s="15"/>
      <c r="K414" s="27"/>
      <c r="L414" s="13"/>
      <c r="M414" s="13"/>
    </row>
    <row r="415" spans="1:13" s="2" customFormat="1" ht="14.25" hidden="1" customHeight="1" x14ac:dyDescent="0.4">
      <c r="A415" s="41"/>
      <c r="B415" s="42"/>
      <c r="C415" s="26"/>
      <c r="D415" s="26"/>
      <c r="E415" s="26"/>
      <c r="F415" s="26"/>
      <c r="G415" s="26"/>
      <c r="H415" s="26"/>
      <c r="I415" s="26">
        <f>ROUND(PRODUCT(C415:H415),2)</f>
        <v>0</v>
      </c>
      <c r="J415" s="15"/>
      <c r="K415" s="28"/>
      <c r="L415" s="13"/>
      <c r="M415" s="13"/>
    </row>
    <row r="416" spans="1:13" ht="15" hidden="1" customHeight="1" x14ac:dyDescent="0.4">
      <c r="A416" s="41"/>
      <c r="B416" s="42"/>
      <c r="C416" s="26"/>
      <c r="D416" s="26"/>
      <c r="E416" s="26"/>
      <c r="F416" s="26"/>
      <c r="G416" s="26"/>
      <c r="H416" s="26"/>
      <c r="I416" s="26">
        <f>ROUND(PRODUCT(C416:H416),2)</f>
        <v>0</v>
      </c>
      <c r="L416" s="13"/>
      <c r="M416" s="13"/>
    </row>
    <row r="417" spans="1:13" ht="15" customHeight="1" x14ac:dyDescent="0.4">
      <c r="A417" s="3"/>
      <c r="B417" s="3"/>
      <c r="C417" s="20"/>
      <c r="D417" s="20"/>
      <c r="E417" s="20"/>
      <c r="F417" s="20"/>
      <c r="G417" s="20"/>
      <c r="H417" s="19" t="str">
        <f>MASTER!$C60</f>
        <v>M</v>
      </c>
      <c r="I417" s="19">
        <f>ROUND(SUM(I414:I416),2)</f>
        <v>250</v>
      </c>
      <c r="J417" s="16"/>
      <c r="K417" s="29"/>
      <c r="L417" s="13"/>
      <c r="M417" s="13"/>
    </row>
    <row r="418" spans="1:13" ht="15" customHeight="1" x14ac:dyDescent="0.4">
      <c r="A418" s="21"/>
      <c r="B418" s="21"/>
      <c r="C418" s="25"/>
      <c r="D418" s="25"/>
      <c r="E418" s="25"/>
      <c r="F418" s="25"/>
      <c r="G418" s="25"/>
      <c r="H418" s="25"/>
      <c r="I418" s="25"/>
    </row>
    <row r="419" spans="1:13" ht="27" customHeight="1" x14ac:dyDescent="0.4">
      <c r="A419" s="4" t="str">
        <f>MASTER!$A61</f>
        <v>01-11-03-003 C H</v>
      </c>
      <c r="B419" s="43" t="str">
        <f>MASTER!$B61</f>
        <v>CABO DE COBRE FLEXÖVEL ISOLADO, 2,5 MMý, ANTI-CHAMA 450/750 V, PARA CIRCUITOS TERMINAIS - FORNECIMENTO E INSTALA€ÇO. AF_03/2023 CS: 91926</v>
      </c>
      <c r="C419" s="44"/>
      <c r="D419" s="44"/>
      <c r="E419" s="44"/>
      <c r="F419" s="44"/>
      <c r="G419" s="44"/>
      <c r="H419" s="44"/>
      <c r="I419" s="45"/>
      <c r="J419" s="15">
        <f>MASTER!$D61</f>
        <v>750</v>
      </c>
      <c r="K419" s="27" t="str">
        <f>IF(I424&lt;&gt;J419, "ERRO", "OK")</f>
        <v>OK</v>
      </c>
    </row>
    <row r="420" spans="1:13" s="2" customFormat="1" ht="14.25" customHeight="1" x14ac:dyDescent="0.25">
      <c r="A420" s="46" t="s">
        <v>1</v>
      </c>
      <c r="B420" s="46"/>
      <c r="C420" s="18" t="s">
        <v>4</v>
      </c>
      <c r="D420" s="18" t="s">
        <v>2</v>
      </c>
      <c r="E420" s="18" t="s">
        <v>3</v>
      </c>
      <c r="F420" s="18" t="s">
        <v>5</v>
      </c>
      <c r="G420" s="18" t="s">
        <v>11</v>
      </c>
      <c r="H420" s="18" t="s">
        <v>12</v>
      </c>
      <c r="I420" s="18" t="s">
        <v>0</v>
      </c>
      <c r="J420" s="15"/>
      <c r="K420" s="27"/>
    </row>
    <row r="421" spans="1:13" s="2" customFormat="1" ht="14.25" customHeight="1" x14ac:dyDescent="0.25">
      <c r="A421" s="41"/>
      <c r="B421" s="42"/>
      <c r="C421" s="26"/>
      <c r="D421" s="26"/>
      <c r="E421" s="26"/>
      <c r="F421" s="26">
        <v>750</v>
      </c>
      <c r="G421" s="26"/>
      <c r="H421" s="26"/>
      <c r="I421" s="26">
        <f>ROUND(PRODUCT(C421:H421),2)</f>
        <v>750</v>
      </c>
      <c r="J421" s="15"/>
      <c r="K421" s="27"/>
    </row>
    <row r="422" spans="1:13" s="2" customFormat="1" ht="14.25" hidden="1" customHeight="1" x14ac:dyDescent="0.25">
      <c r="A422" s="41"/>
      <c r="B422" s="42"/>
      <c r="C422" s="26"/>
      <c r="D422" s="26"/>
      <c r="E422" s="26"/>
      <c r="F422" s="26"/>
      <c r="G422" s="26"/>
      <c r="H422" s="26"/>
      <c r="I422" s="26">
        <f>ROUND(PRODUCT(C422:H422),2)</f>
        <v>0</v>
      </c>
      <c r="J422" s="15"/>
      <c r="K422" s="27"/>
    </row>
    <row r="423" spans="1:13" ht="15" hidden="1" customHeight="1" x14ac:dyDescent="0.4">
      <c r="A423" s="41"/>
      <c r="B423" s="42"/>
      <c r="C423" s="26"/>
      <c r="D423" s="26"/>
      <c r="E423" s="26"/>
      <c r="F423" s="26"/>
      <c r="G423" s="26"/>
      <c r="H423" s="26"/>
      <c r="I423" s="26">
        <f>ROUND(PRODUCT(C423:H423),2)</f>
        <v>0</v>
      </c>
      <c r="K423" s="27"/>
    </row>
    <row r="424" spans="1:13" ht="15" customHeight="1" x14ac:dyDescent="0.4">
      <c r="A424" s="3"/>
      <c r="B424" s="3"/>
      <c r="C424" s="20"/>
      <c r="D424" s="20"/>
      <c r="E424" s="20"/>
      <c r="F424" s="20"/>
      <c r="G424" s="20"/>
      <c r="H424" s="19" t="str">
        <f>MASTER!$C61</f>
        <v>M</v>
      </c>
      <c r="I424" s="19">
        <f>ROUND(SUM(I421:I423),2)</f>
        <v>750</v>
      </c>
      <c r="J424" s="16"/>
      <c r="K424" s="27"/>
      <c r="L424" s="13"/>
      <c r="M424" s="13"/>
    </row>
    <row r="425" spans="1:13" ht="15" customHeight="1" x14ac:dyDescent="0.4">
      <c r="A425" s="21"/>
      <c r="B425" s="21"/>
      <c r="C425" s="25"/>
      <c r="D425" s="25"/>
      <c r="E425" s="25"/>
      <c r="F425" s="25"/>
      <c r="G425" s="25"/>
      <c r="H425" s="25"/>
      <c r="I425" s="25"/>
      <c r="K425" s="27"/>
      <c r="L425" s="13"/>
      <c r="M425" s="13"/>
    </row>
    <row r="426" spans="1:13" ht="27" customHeight="1" x14ac:dyDescent="0.4">
      <c r="A426" s="4" t="str">
        <f>MASTER!$A62</f>
        <v>63-21-05-014 O H</v>
      </c>
      <c r="B426" s="43" t="str">
        <f>MASTER!$B62</f>
        <v>QUADRO DE DISTRIBUI€ÇO DE LUZ EM CHAPA DE A€O DE SOBREPOR, AT 64 DIVISåES MODULARES, DIMENSåES EXTERNAS 973X405X95MM SEM BARRAMENTO</v>
      </c>
      <c r="C426" s="44"/>
      <c r="D426" s="44"/>
      <c r="E426" s="44"/>
      <c r="F426" s="44"/>
      <c r="G426" s="44"/>
      <c r="H426" s="44"/>
      <c r="I426" s="45"/>
      <c r="J426" s="15">
        <f>MASTER!$D62</f>
        <v>1</v>
      </c>
      <c r="K426" s="27" t="str">
        <f>IF(I431&lt;&gt;J426, "ERRO", "OK")</f>
        <v>OK</v>
      </c>
      <c r="L426" s="13"/>
      <c r="M426" s="13"/>
    </row>
    <row r="427" spans="1:13" s="2" customFormat="1" ht="14.25" customHeight="1" x14ac:dyDescent="0.25">
      <c r="A427" s="46" t="s">
        <v>1</v>
      </c>
      <c r="B427" s="46"/>
      <c r="C427" s="18" t="s">
        <v>4</v>
      </c>
      <c r="D427" s="18" t="s">
        <v>2</v>
      </c>
      <c r="E427" s="18" t="s">
        <v>3</v>
      </c>
      <c r="F427" s="18" t="s">
        <v>5</v>
      </c>
      <c r="G427" s="18" t="s">
        <v>11</v>
      </c>
      <c r="H427" s="18" t="s">
        <v>12</v>
      </c>
      <c r="I427" s="18" t="s">
        <v>0</v>
      </c>
      <c r="J427" s="15"/>
      <c r="K427" s="27"/>
      <c r="L427" s="13"/>
      <c r="M427" s="13"/>
    </row>
    <row r="428" spans="1:13" s="2" customFormat="1" ht="14.25" customHeight="1" x14ac:dyDescent="0.25">
      <c r="A428" s="41"/>
      <c r="B428" s="42"/>
      <c r="C428" s="26"/>
      <c r="D428" s="26"/>
      <c r="E428" s="26"/>
      <c r="F428" s="26">
        <v>1</v>
      </c>
      <c r="G428" s="26"/>
      <c r="H428" s="26"/>
      <c r="I428" s="26">
        <f>ROUND(PRODUCT(C428:H428),2)</f>
        <v>1</v>
      </c>
      <c r="J428" s="15"/>
      <c r="K428" s="27"/>
      <c r="L428" s="13"/>
      <c r="M428" s="13"/>
    </row>
    <row r="429" spans="1:13" s="2" customFormat="1" ht="14.25" hidden="1" customHeight="1" x14ac:dyDescent="0.4">
      <c r="A429" s="41"/>
      <c r="B429" s="42"/>
      <c r="C429" s="26"/>
      <c r="D429" s="26"/>
      <c r="E429" s="26"/>
      <c r="F429" s="26"/>
      <c r="G429" s="26"/>
      <c r="H429" s="26"/>
      <c r="I429" s="26">
        <f>ROUND(PRODUCT(C429:H429),2)</f>
        <v>0</v>
      </c>
      <c r="J429" s="15"/>
      <c r="K429" s="28"/>
      <c r="L429" s="13"/>
      <c r="M429" s="13"/>
    </row>
    <row r="430" spans="1:13" ht="15" hidden="1" customHeight="1" x14ac:dyDescent="0.4">
      <c r="A430" s="41"/>
      <c r="B430" s="42"/>
      <c r="C430" s="26"/>
      <c r="D430" s="26"/>
      <c r="E430" s="26"/>
      <c r="F430" s="26"/>
      <c r="G430" s="26"/>
      <c r="H430" s="26"/>
      <c r="I430" s="26">
        <f>ROUND(PRODUCT(C430:H430),2)</f>
        <v>0</v>
      </c>
      <c r="L430" s="13"/>
      <c r="M430" s="13"/>
    </row>
    <row r="431" spans="1:13" ht="15" customHeight="1" x14ac:dyDescent="0.4">
      <c r="A431" s="3"/>
      <c r="B431" s="3"/>
      <c r="C431" s="20"/>
      <c r="D431" s="20"/>
      <c r="E431" s="20"/>
      <c r="F431" s="20"/>
      <c r="G431" s="20"/>
      <c r="H431" s="19" t="str">
        <f>MASTER!$C62</f>
        <v>UN</v>
      </c>
      <c r="I431" s="19">
        <f>ROUND(SUM(I428:I430),2)</f>
        <v>1</v>
      </c>
      <c r="J431" s="16"/>
      <c r="K431" s="29"/>
      <c r="L431" s="13"/>
      <c r="M431" s="13"/>
    </row>
    <row r="432" spans="1:13" ht="15" customHeight="1" x14ac:dyDescent="0.4">
      <c r="A432" s="21"/>
      <c r="B432" s="21"/>
      <c r="C432" s="25"/>
      <c r="D432" s="25"/>
      <c r="E432" s="25"/>
      <c r="F432" s="25"/>
      <c r="G432" s="25"/>
      <c r="H432" s="25"/>
      <c r="I432" s="25"/>
    </row>
    <row r="433" spans="1:13" ht="27" customHeight="1" x14ac:dyDescent="0.4">
      <c r="A433" s="4" t="str">
        <f>MASTER!$A63</f>
        <v>01-11-01-026 C H</v>
      </c>
      <c r="B433" s="43" t="str">
        <f>MASTER!$B63</f>
        <v>ELETRODUTO RÖGIDO ROSCµVEL, PVC, DN 25 MM (3/4), PARA CIRCUITOS TERMINAIS, INSTALADO EM FORRO - FORNECIMENTO E INSTALA€ÇO. AF_03/2023 CS: 91863</v>
      </c>
      <c r="C433" s="44"/>
      <c r="D433" s="44"/>
      <c r="E433" s="44"/>
      <c r="F433" s="44"/>
      <c r="G433" s="44"/>
      <c r="H433" s="44"/>
      <c r="I433" s="45"/>
      <c r="J433" s="15">
        <f>MASTER!$D63</f>
        <v>150</v>
      </c>
      <c r="K433" s="27" t="str">
        <f>IF(I438&lt;&gt;J433, "ERRO", "OK")</f>
        <v>OK</v>
      </c>
    </row>
    <row r="434" spans="1:13" s="2" customFormat="1" ht="14.25" customHeight="1" x14ac:dyDescent="0.25">
      <c r="A434" s="46" t="s">
        <v>1</v>
      </c>
      <c r="B434" s="46"/>
      <c r="C434" s="18" t="s">
        <v>4</v>
      </c>
      <c r="D434" s="18" t="s">
        <v>2</v>
      </c>
      <c r="E434" s="18" t="s">
        <v>3</v>
      </c>
      <c r="F434" s="18" t="s">
        <v>5</v>
      </c>
      <c r="G434" s="18" t="s">
        <v>11</v>
      </c>
      <c r="H434" s="18" t="s">
        <v>12</v>
      </c>
      <c r="I434" s="18" t="s">
        <v>0</v>
      </c>
      <c r="J434" s="15"/>
      <c r="K434" s="27"/>
    </row>
    <row r="435" spans="1:13" s="2" customFormat="1" ht="14.25" customHeight="1" x14ac:dyDescent="0.25">
      <c r="A435" s="41"/>
      <c r="B435" s="42"/>
      <c r="C435" s="26"/>
      <c r="D435" s="26"/>
      <c r="E435" s="26"/>
      <c r="F435" s="26">
        <v>150</v>
      </c>
      <c r="G435" s="26"/>
      <c r="H435" s="26"/>
      <c r="I435" s="26">
        <f>ROUND(PRODUCT(C435:H435),2)</f>
        <v>150</v>
      </c>
      <c r="J435" s="15"/>
      <c r="K435" s="27"/>
    </row>
    <row r="436" spans="1:13" s="2" customFormat="1" ht="14.25" hidden="1" customHeight="1" x14ac:dyDescent="0.25">
      <c r="A436" s="41"/>
      <c r="B436" s="42"/>
      <c r="C436" s="26"/>
      <c r="D436" s="26"/>
      <c r="E436" s="26"/>
      <c r="F436" s="26"/>
      <c r="G436" s="26"/>
      <c r="H436" s="26"/>
      <c r="I436" s="26">
        <f>ROUND(PRODUCT(C436:H436),2)</f>
        <v>0</v>
      </c>
      <c r="J436" s="15"/>
      <c r="K436" s="27"/>
    </row>
    <row r="437" spans="1:13" ht="15" hidden="1" customHeight="1" x14ac:dyDescent="0.4">
      <c r="A437" s="41"/>
      <c r="B437" s="42"/>
      <c r="C437" s="26"/>
      <c r="D437" s="26"/>
      <c r="E437" s="26"/>
      <c r="F437" s="26"/>
      <c r="G437" s="26"/>
      <c r="H437" s="26"/>
      <c r="I437" s="26">
        <f>ROUND(PRODUCT(C437:H437),2)</f>
        <v>0</v>
      </c>
      <c r="K437" s="27"/>
    </row>
    <row r="438" spans="1:13" ht="15" customHeight="1" x14ac:dyDescent="0.4">
      <c r="A438" s="3"/>
      <c r="B438" s="3"/>
      <c r="C438" s="20"/>
      <c r="D438" s="20"/>
      <c r="E438" s="20"/>
      <c r="F438" s="20"/>
      <c r="G438" s="20"/>
      <c r="H438" s="19" t="str">
        <f>MASTER!$C63</f>
        <v>M</v>
      </c>
      <c r="I438" s="19">
        <f>ROUND(SUM(I435:I437),2)</f>
        <v>150</v>
      </c>
      <c r="J438" s="16"/>
      <c r="K438" s="27"/>
      <c r="L438" s="13"/>
      <c r="M438" s="13"/>
    </row>
    <row r="439" spans="1:13" ht="15" customHeight="1" x14ac:dyDescent="0.4">
      <c r="A439" s="22"/>
      <c r="B439" s="22"/>
      <c r="C439" s="23"/>
      <c r="D439" s="23"/>
      <c r="E439" s="23"/>
      <c r="F439" s="23"/>
      <c r="G439" s="23"/>
      <c r="H439" s="24"/>
      <c r="I439" s="24"/>
      <c r="J439" s="16"/>
      <c r="K439" s="27"/>
      <c r="L439" s="13"/>
      <c r="M439" s="13"/>
    </row>
    <row r="440" spans="1:13" ht="27" customHeight="1" x14ac:dyDescent="0.4">
      <c r="A440" s="4" t="str">
        <f>MASTER!$A64</f>
        <v>63-21-03-026 O H</v>
      </c>
      <c r="B440" s="43" t="str">
        <f>MASTER!$B64</f>
        <v>ABRA€ADEIRA EM A€O TIPO D, COM CUNHA, PARA ELETRODUTOS DN 1, INCLUSIVE ACESSàRIOS DE FIXA€ÇO - FORNECIMENTO E INSTALA€ÇO</v>
      </c>
      <c r="C440" s="44"/>
      <c r="D440" s="44"/>
      <c r="E440" s="44"/>
      <c r="F440" s="44"/>
      <c r="G440" s="44"/>
      <c r="H440" s="44"/>
      <c r="I440" s="45"/>
      <c r="J440" s="15">
        <f>MASTER!$D64</f>
        <v>200</v>
      </c>
      <c r="K440" s="27" t="str">
        <f>IF(I445&lt;&gt;J440, "ERRO", "OK")</f>
        <v>OK</v>
      </c>
      <c r="L440" s="13"/>
      <c r="M440" s="13"/>
    </row>
    <row r="441" spans="1:13" s="2" customFormat="1" ht="14.25" customHeight="1" x14ac:dyDescent="0.25">
      <c r="A441" s="46" t="s">
        <v>1</v>
      </c>
      <c r="B441" s="46"/>
      <c r="C441" s="18" t="s">
        <v>4</v>
      </c>
      <c r="D441" s="18" t="s">
        <v>2</v>
      </c>
      <c r="E441" s="18" t="s">
        <v>3</v>
      </c>
      <c r="F441" s="18" t="s">
        <v>5</v>
      </c>
      <c r="G441" s="18" t="s">
        <v>11</v>
      </c>
      <c r="H441" s="18" t="s">
        <v>12</v>
      </c>
      <c r="I441" s="18" t="s">
        <v>0</v>
      </c>
      <c r="J441" s="15"/>
      <c r="K441" s="27"/>
      <c r="L441" s="13"/>
      <c r="M441" s="13"/>
    </row>
    <row r="442" spans="1:13" s="2" customFormat="1" ht="14.25" customHeight="1" x14ac:dyDescent="0.25">
      <c r="A442" s="41"/>
      <c r="B442" s="42"/>
      <c r="C442" s="26"/>
      <c r="D442" s="26"/>
      <c r="E442" s="26"/>
      <c r="F442" s="26">
        <v>200</v>
      </c>
      <c r="G442" s="26"/>
      <c r="H442" s="26"/>
      <c r="I442" s="26">
        <f>ROUND(PRODUCT(C442:H442),2)</f>
        <v>200</v>
      </c>
      <c r="J442" s="15"/>
      <c r="K442" s="27"/>
      <c r="L442" s="13"/>
      <c r="M442" s="13"/>
    </row>
    <row r="443" spans="1:13" s="2" customFormat="1" ht="14.25" hidden="1" customHeight="1" x14ac:dyDescent="0.4">
      <c r="A443" s="41"/>
      <c r="B443" s="42"/>
      <c r="C443" s="26"/>
      <c r="D443" s="26"/>
      <c r="E443" s="26"/>
      <c r="F443" s="26"/>
      <c r="G443" s="26"/>
      <c r="H443" s="26"/>
      <c r="I443" s="26">
        <f>ROUND(PRODUCT(C443:H443),2)</f>
        <v>0</v>
      </c>
      <c r="J443" s="15"/>
      <c r="K443" s="28"/>
      <c r="L443" s="13"/>
      <c r="M443" s="13"/>
    </row>
    <row r="444" spans="1:13" ht="15" hidden="1" customHeight="1" x14ac:dyDescent="0.4">
      <c r="A444" s="41"/>
      <c r="B444" s="42"/>
      <c r="C444" s="26"/>
      <c r="D444" s="26"/>
      <c r="E444" s="26"/>
      <c r="F444" s="26"/>
      <c r="G444" s="26"/>
      <c r="H444" s="26"/>
      <c r="I444" s="26">
        <f>ROUND(PRODUCT(C444:H444),2)</f>
        <v>0</v>
      </c>
      <c r="L444" s="13"/>
      <c r="M444" s="13"/>
    </row>
    <row r="445" spans="1:13" ht="15" customHeight="1" x14ac:dyDescent="0.4">
      <c r="A445" s="3"/>
      <c r="B445" s="3"/>
      <c r="C445" s="20"/>
      <c r="D445" s="20"/>
      <c r="E445" s="20"/>
      <c r="F445" s="20"/>
      <c r="G445" s="20"/>
      <c r="H445" s="19" t="str">
        <f>MASTER!$C64</f>
        <v>UN</v>
      </c>
      <c r="I445" s="19">
        <f>ROUND(SUM(I442:I444),2)</f>
        <v>200</v>
      </c>
      <c r="J445" s="16"/>
      <c r="K445" s="29"/>
      <c r="L445" s="13"/>
      <c r="M445" s="13"/>
    </row>
    <row r="446" spans="1:13" ht="15" customHeight="1" x14ac:dyDescent="0.4">
      <c r="A446" s="21"/>
      <c r="B446" s="21"/>
      <c r="C446" s="25"/>
      <c r="D446" s="25"/>
      <c r="E446" s="25"/>
      <c r="F446" s="25"/>
      <c r="G446" s="25"/>
      <c r="H446" s="25"/>
      <c r="I446" s="25"/>
    </row>
    <row r="447" spans="1:13" ht="27" customHeight="1" x14ac:dyDescent="0.4">
      <c r="A447" s="4" t="str">
        <f>MASTER!$A65</f>
        <v>01-11-02-015 C H</v>
      </c>
      <c r="B447" s="43" t="str">
        <f>MASTER!$B65</f>
        <v>CURVA 90 GRAUS PARA ELETRODUTO, PVC, ROSCµVEL, DN 25 MM (3/4), PARA CIRCUITOS TERMINAIS, INSTALADA EM FORRO - FORNECIMENTO E INSTALA€ÇO. AF_03/2023 CS: 91890</v>
      </c>
      <c r="C447" s="44"/>
      <c r="D447" s="44"/>
      <c r="E447" s="44"/>
      <c r="F447" s="44"/>
      <c r="G447" s="44"/>
      <c r="H447" s="44"/>
      <c r="I447" s="45"/>
      <c r="J447" s="15">
        <f>MASTER!$D65</f>
        <v>22</v>
      </c>
      <c r="K447" s="27" t="str">
        <f>IF(I452&lt;&gt;J447, "ERRO", "OK")</f>
        <v>OK</v>
      </c>
    </row>
    <row r="448" spans="1:13" s="2" customFormat="1" ht="14.25" customHeight="1" x14ac:dyDescent="0.25">
      <c r="A448" s="46" t="s">
        <v>1</v>
      </c>
      <c r="B448" s="46"/>
      <c r="C448" s="18" t="s">
        <v>4</v>
      </c>
      <c r="D448" s="18" t="s">
        <v>2</v>
      </c>
      <c r="E448" s="18" t="s">
        <v>3</v>
      </c>
      <c r="F448" s="18" t="s">
        <v>5</v>
      </c>
      <c r="G448" s="18" t="s">
        <v>11</v>
      </c>
      <c r="H448" s="18" t="s">
        <v>12</v>
      </c>
      <c r="I448" s="18" t="s">
        <v>0</v>
      </c>
      <c r="J448" s="15"/>
      <c r="K448" s="27"/>
    </row>
    <row r="449" spans="1:13" s="2" customFormat="1" ht="14.25" customHeight="1" x14ac:dyDescent="0.25">
      <c r="A449" s="41"/>
      <c r="B449" s="42"/>
      <c r="C449" s="26"/>
      <c r="D449" s="26"/>
      <c r="E449" s="26"/>
      <c r="F449" s="26">
        <v>22</v>
      </c>
      <c r="G449" s="26"/>
      <c r="H449" s="26"/>
      <c r="I449" s="26">
        <f>ROUND(PRODUCT(C449:H449),2)</f>
        <v>22</v>
      </c>
      <c r="J449" s="15"/>
      <c r="K449" s="27"/>
    </row>
    <row r="450" spans="1:13" s="2" customFormat="1" ht="14.25" hidden="1" customHeight="1" x14ac:dyDescent="0.25">
      <c r="A450" s="41"/>
      <c r="B450" s="42"/>
      <c r="C450" s="26"/>
      <c r="D450" s="26"/>
      <c r="E450" s="26"/>
      <c r="F450" s="26"/>
      <c r="G450" s="26"/>
      <c r="H450" s="26"/>
      <c r="I450" s="26">
        <f>ROUND(PRODUCT(C450:H450),2)</f>
        <v>0</v>
      </c>
      <c r="J450" s="15"/>
      <c r="K450" s="27"/>
    </row>
    <row r="451" spans="1:13" ht="15" hidden="1" customHeight="1" x14ac:dyDescent="0.4">
      <c r="A451" s="41"/>
      <c r="B451" s="42"/>
      <c r="C451" s="26"/>
      <c r="D451" s="26"/>
      <c r="E451" s="26"/>
      <c r="F451" s="26"/>
      <c r="G451" s="26"/>
      <c r="H451" s="26"/>
      <c r="I451" s="26">
        <f>ROUND(PRODUCT(C451:H451),2)</f>
        <v>0</v>
      </c>
      <c r="K451" s="27"/>
    </row>
    <row r="452" spans="1:13" ht="15" customHeight="1" x14ac:dyDescent="0.4">
      <c r="A452" s="3"/>
      <c r="B452" s="3"/>
      <c r="C452" s="20"/>
      <c r="D452" s="20"/>
      <c r="E452" s="20"/>
      <c r="F452" s="20"/>
      <c r="G452" s="20"/>
      <c r="H452" s="19" t="str">
        <f>MASTER!$C65</f>
        <v>UN</v>
      </c>
      <c r="I452" s="19">
        <f>ROUND(SUM(I449:I451),2)</f>
        <v>22</v>
      </c>
      <c r="J452" s="16"/>
      <c r="K452" s="27"/>
      <c r="L452" s="13"/>
      <c r="M452" s="13"/>
    </row>
    <row r="453" spans="1:13" ht="15" customHeight="1" x14ac:dyDescent="0.4">
      <c r="A453" s="21"/>
      <c r="B453" s="21"/>
      <c r="C453" s="25"/>
      <c r="D453" s="25"/>
      <c r="E453" s="25"/>
      <c r="F453" s="25"/>
      <c r="G453" s="25"/>
      <c r="H453" s="25"/>
      <c r="I453" s="25"/>
      <c r="K453" s="27"/>
      <c r="L453" s="13"/>
      <c r="M453" s="13"/>
    </row>
    <row r="454" spans="1:13" ht="27" customHeight="1" x14ac:dyDescent="0.4">
      <c r="A454" s="4" t="str">
        <f>MASTER!$A66</f>
        <v>01-11-02-002 C H</v>
      </c>
      <c r="B454" s="43" t="str">
        <f>MASTER!$B66</f>
        <v>LUVA PARA ELETRODUTO, PVC, ROSCµVEL, DN25 MM (3/4), PARA CIRCUITOS TERMINAIS, INSTALADA EM FORRO - FORNECIMENTO E INSTALA€ÇO. AF_03/2023 CS: 91875</v>
      </c>
      <c r="C454" s="44"/>
      <c r="D454" s="44"/>
      <c r="E454" s="44"/>
      <c r="F454" s="44"/>
      <c r="G454" s="44"/>
      <c r="H454" s="44"/>
      <c r="I454" s="45"/>
      <c r="J454" s="15">
        <f>MASTER!$D66</f>
        <v>35</v>
      </c>
      <c r="K454" s="27" t="str">
        <f>IF(I459&lt;&gt;J454, "ERRO", "OK")</f>
        <v>OK</v>
      </c>
      <c r="L454" s="13"/>
      <c r="M454" s="13"/>
    </row>
    <row r="455" spans="1:13" s="2" customFormat="1" ht="14.25" customHeight="1" x14ac:dyDescent="0.25">
      <c r="A455" s="46" t="s">
        <v>1</v>
      </c>
      <c r="B455" s="46"/>
      <c r="C455" s="18" t="s">
        <v>4</v>
      </c>
      <c r="D455" s="18" t="s">
        <v>2</v>
      </c>
      <c r="E455" s="18" t="s">
        <v>3</v>
      </c>
      <c r="F455" s="18" t="s">
        <v>5</v>
      </c>
      <c r="G455" s="18" t="s">
        <v>11</v>
      </c>
      <c r="H455" s="18" t="s">
        <v>12</v>
      </c>
      <c r="I455" s="18" t="s">
        <v>0</v>
      </c>
      <c r="J455" s="15"/>
      <c r="K455" s="27"/>
      <c r="L455" s="13"/>
      <c r="M455" s="13"/>
    </row>
    <row r="456" spans="1:13" s="2" customFormat="1" ht="14.25" customHeight="1" x14ac:dyDescent="0.25">
      <c r="A456" s="41"/>
      <c r="B456" s="42"/>
      <c r="C456" s="26"/>
      <c r="D456" s="26"/>
      <c r="E456" s="26"/>
      <c r="F456" s="26">
        <v>35</v>
      </c>
      <c r="G456" s="26"/>
      <c r="H456" s="26"/>
      <c r="I456" s="26">
        <f>ROUND(PRODUCT(C456:H456),2)</f>
        <v>35</v>
      </c>
      <c r="J456" s="15"/>
      <c r="K456" s="27"/>
      <c r="L456" s="13"/>
      <c r="M456" s="13"/>
    </row>
    <row r="457" spans="1:13" s="2" customFormat="1" ht="14.25" hidden="1" customHeight="1" x14ac:dyDescent="0.4">
      <c r="A457" s="41"/>
      <c r="B457" s="42"/>
      <c r="C457" s="26"/>
      <c r="D457" s="26"/>
      <c r="E457" s="26"/>
      <c r="F457" s="26"/>
      <c r="G457" s="26"/>
      <c r="H457" s="26"/>
      <c r="I457" s="26">
        <f>ROUND(PRODUCT(C457:H457),2)</f>
        <v>0</v>
      </c>
      <c r="J457" s="15"/>
      <c r="K457" s="28"/>
      <c r="L457" s="13"/>
      <c r="M457" s="13"/>
    </row>
    <row r="458" spans="1:13" ht="15" hidden="1" customHeight="1" x14ac:dyDescent="0.4">
      <c r="A458" s="41"/>
      <c r="B458" s="42"/>
      <c r="C458" s="26"/>
      <c r="D458" s="26"/>
      <c r="E458" s="26"/>
      <c r="F458" s="26"/>
      <c r="G458" s="26"/>
      <c r="H458" s="26"/>
      <c r="I458" s="26">
        <f>ROUND(PRODUCT(C458:H458),2)</f>
        <v>0</v>
      </c>
      <c r="L458" s="13"/>
      <c r="M458" s="13"/>
    </row>
    <row r="459" spans="1:13" ht="15" customHeight="1" x14ac:dyDescent="0.4">
      <c r="A459" s="3"/>
      <c r="B459" s="3"/>
      <c r="C459" s="20"/>
      <c r="D459" s="20"/>
      <c r="E459" s="20"/>
      <c r="F459" s="20"/>
      <c r="G459" s="20"/>
      <c r="H459" s="19" t="str">
        <f>MASTER!$C66</f>
        <v>UN</v>
      </c>
      <c r="I459" s="19">
        <f>ROUND(SUM(I456:I458),2)</f>
        <v>35</v>
      </c>
      <c r="J459" s="16"/>
      <c r="K459" s="29"/>
      <c r="L459" s="13"/>
      <c r="M459" s="13"/>
    </row>
    <row r="460" spans="1:13" ht="15" customHeight="1" x14ac:dyDescent="0.4">
      <c r="A460" s="21"/>
      <c r="B460" s="21"/>
      <c r="C460" s="25"/>
      <c r="D460" s="25"/>
      <c r="E460" s="25"/>
      <c r="F460" s="25"/>
      <c r="G460" s="25"/>
      <c r="H460" s="25"/>
      <c r="I460" s="25"/>
    </row>
    <row r="461" spans="1:13" ht="23.25" customHeight="1" x14ac:dyDescent="0.4">
      <c r="A461" s="4" t="str">
        <f>MASTER!$A67</f>
        <v>64-23-74-160 O H</v>
      </c>
      <c r="B461" s="43" t="str">
        <f>MASTER!$B67</f>
        <v>BOX RETO EM ALUMÖNIO DI¶METRO 1- FORNECIMENTO E INSTALA€ÇO</v>
      </c>
      <c r="C461" s="44"/>
      <c r="D461" s="44"/>
      <c r="E461" s="44"/>
      <c r="F461" s="44"/>
      <c r="G461" s="44"/>
      <c r="H461" s="44"/>
      <c r="I461" s="45"/>
      <c r="J461" s="15">
        <f>MASTER!$D67</f>
        <v>60</v>
      </c>
      <c r="K461" s="27" t="str">
        <f>IF(I466&lt;&gt;J461, "ERRO", "OK")</f>
        <v>OK</v>
      </c>
    </row>
    <row r="462" spans="1:13" s="2" customFormat="1" ht="14.25" customHeight="1" x14ac:dyDescent="0.25">
      <c r="A462" s="46" t="s">
        <v>1</v>
      </c>
      <c r="B462" s="46"/>
      <c r="C462" s="18" t="s">
        <v>4</v>
      </c>
      <c r="D462" s="18" t="s">
        <v>2</v>
      </c>
      <c r="E462" s="18" t="s">
        <v>3</v>
      </c>
      <c r="F462" s="18" t="s">
        <v>5</v>
      </c>
      <c r="G462" s="18" t="s">
        <v>11</v>
      </c>
      <c r="H462" s="18" t="s">
        <v>12</v>
      </c>
      <c r="I462" s="18" t="s">
        <v>0</v>
      </c>
      <c r="J462" s="15"/>
      <c r="K462" s="27"/>
    </row>
    <row r="463" spans="1:13" s="2" customFormat="1" ht="14.25" customHeight="1" x14ac:dyDescent="0.25">
      <c r="A463" s="41"/>
      <c r="B463" s="42"/>
      <c r="C463" s="26"/>
      <c r="D463" s="26"/>
      <c r="E463" s="26"/>
      <c r="F463" s="26">
        <v>60</v>
      </c>
      <c r="G463" s="26"/>
      <c r="H463" s="26"/>
      <c r="I463" s="26">
        <f>ROUND(PRODUCT(C463:H463),2)</f>
        <v>60</v>
      </c>
      <c r="J463" s="15"/>
      <c r="K463" s="27"/>
    </row>
    <row r="464" spans="1:13" s="2" customFormat="1" ht="14.25" hidden="1" customHeight="1" x14ac:dyDescent="0.25">
      <c r="A464" s="41"/>
      <c r="B464" s="42"/>
      <c r="C464" s="26"/>
      <c r="D464" s="26"/>
      <c r="E464" s="26"/>
      <c r="F464" s="26"/>
      <c r="G464" s="26"/>
      <c r="H464" s="26"/>
      <c r="I464" s="26">
        <f>ROUND(PRODUCT(C464:H464),2)</f>
        <v>0</v>
      </c>
      <c r="J464" s="15"/>
      <c r="K464" s="27"/>
    </row>
    <row r="465" spans="1:13" ht="15" hidden="1" customHeight="1" x14ac:dyDescent="0.4">
      <c r="A465" s="41"/>
      <c r="B465" s="42"/>
      <c r="C465" s="26"/>
      <c r="D465" s="26"/>
      <c r="E465" s="26"/>
      <c r="F465" s="26"/>
      <c r="G465" s="26"/>
      <c r="H465" s="26"/>
      <c r="I465" s="26">
        <f>ROUND(PRODUCT(C465:H465),2)</f>
        <v>0</v>
      </c>
      <c r="K465" s="27"/>
    </row>
    <row r="466" spans="1:13" ht="15" customHeight="1" x14ac:dyDescent="0.4">
      <c r="A466" s="3"/>
      <c r="B466" s="3"/>
      <c r="C466" s="20"/>
      <c r="D466" s="20"/>
      <c r="E466" s="20"/>
      <c r="F466" s="20"/>
      <c r="G466" s="20"/>
      <c r="H466" s="19" t="str">
        <f>MASTER!$C67</f>
        <v>UN</v>
      </c>
      <c r="I466" s="19">
        <f>ROUND(SUM(I463:I465),2)</f>
        <v>60</v>
      </c>
      <c r="J466" s="16"/>
      <c r="K466" s="27"/>
      <c r="L466" s="13"/>
      <c r="M466" s="13"/>
    </row>
    <row r="467" spans="1:13" ht="15" customHeight="1" x14ac:dyDescent="0.4">
      <c r="A467" s="21"/>
      <c r="B467" s="21"/>
      <c r="C467" s="25"/>
      <c r="D467" s="25"/>
      <c r="E467" s="25"/>
      <c r="F467" s="25"/>
      <c r="G467" s="25"/>
      <c r="H467" s="25"/>
      <c r="I467" s="25"/>
      <c r="K467" s="27"/>
      <c r="L467" s="13"/>
      <c r="M467" s="13"/>
    </row>
    <row r="468" spans="1:13" ht="27" customHeight="1" x14ac:dyDescent="0.4">
      <c r="A468" s="4" t="str">
        <f>MASTER!$A68</f>
        <v>63-21-05-048 O H</v>
      </c>
      <c r="B468" s="43" t="str">
        <f>MASTER!$B68</f>
        <v>DISPOSITIVO DE PROTE€ÇO CONTRA SURTO DETENSÇO DPS 20KA - 275V - CLAMPER OU SIMILAR - FORNECIMENTO E INSTALA€ÇO</v>
      </c>
      <c r="C468" s="44"/>
      <c r="D468" s="44"/>
      <c r="E468" s="44"/>
      <c r="F468" s="44"/>
      <c r="G468" s="44"/>
      <c r="H468" s="44"/>
      <c r="I468" s="45"/>
      <c r="J468" s="15">
        <f>MASTER!$D68</f>
        <v>4</v>
      </c>
      <c r="K468" s="27" t="str">
        <f>IF(I473&lt;&gt;J468, "ERRO", "OK")</f>
        <v>OK</v>
      </c>
      <c r="L468" s="13"/>
      <c r="M468" s="13"/>
    </row>
    <row r="469" spans="1:13" s="2" customFormat="1" ht="14.25" customHeight="1" x14ac:dyDescent="0.25">
      <c r="A469" s="46" t="s">
        <v>1</v>
      </c>
      <c r="B469" s="46"/>
      <c r="C469" s="18" t="s">
        <v>4</v>
      </c>
      <c r="D469" s="18" t="s">
        <v>2</v>
      </c>
      <c r="E469" s="18" t="s">
        <v>3</v>
      </c>
      <c r="F469" s="18" t="s">
        <v>5</v>
      </c>
      <c r="G469" s="18" t="s">
        <v>11</v>
      </c>
      <c r="H469" s="18" t="s">
        <v>12</v>
      </c>
      <c r="I469" s="18" t="s">
        <v>0</v>
      </c>
      <c r="J469" s="15"/>
      <c r="K469" s="27"/>
      <c r="L469" s="13"/>
      <c r="M469" s="13"/>
    </row>
    <row r="470" spans="1:13" s="2" customFormat="1" ht="14.25" customHeight="1" x14ac:dyDescent="0.25">
      <c r="A470" s="41"/>
      <c r="B470" s="42"/>
      <c r="C470" s="26"/>
      <c r="D470" s="26"/>
      <c r="E470" s="26"/>
      <c r="F470" s="26">
        <v>4</v>
      </c>
      <c r="G470" s="26"/>
      <c r="H470" s="26"/>
      <c r="I470" s="26">
        <f>ROUND(PRODUCT(C470:H470),2)</f>
        <v>4</v>
      </c>
      <c r="J470" s="15"/>
      <c r="K470" s="27"/>
      <c r="L470" s="13"/>
      <c r="M470" s="13"/>
    </row>
    <row r="471" spans="1:13" s="2" customFormat="1" ht="14.25" hidden="1" customHeight="1" x14ac:dyDescent="0.4">
      <c r="A471" s="41"/>
      <c r="B471" s="42"/>
      <c r="C471" s="26"/>
      <c r="D471" s="26"/>
      <c r="E471" s="26"/>
      <c r="F471" s="26"/>
      <c r="G471" s="26"/>
      <c r="H471" s="26"/>
      <c r="I471" s="26">
        <f>ROUND(PRODUCT(C471:H471),2)</f>
        <v>0</v>
      </c>
      <c r="J471" s="15"/>
      <c r="K471" s="28"/>
      <c r="L471" s="13"/>
      <c r="M471" s="13"/>
    </row>
    <row r="472" spans="1:13" ht="15" hidden="1" customHeight="1" x14ac:dyDescent="0.4">
      <c r="A472" s="41"/>
      <c r="B472" s="42"/>
      <c r="C472" s="26"/>
      <c r="D472" s="26"/>
      <c r="E472" s="26"/>
      <c r="F472" s="26"/>
      <c r="G472" s="26"/>
      <c r="H472" s="26"/>
      <c r="I472" s="26">
        <f>ROUND(PRODUCT(C472:H472),2)</f>
        <v>0</v>
      </c>
      <c r="L472" s="13"/>
      <c r="M472" s="13"/>
    </row>
    <row r="473" spans="1:13" ht="15" customHeight="1" x14ac:dyDescent="0.4">
      <c r="A473" s="3"/>
      <c r="B473" s="3"/>
      <c r="C473" s="20"/>
      <c r="D473" s="20"/>
      <c r="E473" s="20"/>
      <c r="F473" s="20"/>
      <c r="G473" s="20"/>
      <c r="H473" s="19" t="str">
        <f>MASTER!$C68</f>
        <v>UN</v>
      </c>
      <c r="I473" s="19">
        <f>ROUND(SUM(I470:I472),2)</f>
        <v>4</v>
      </c>
      <c r="J473" s="16"/>
      <c r="K473" s="29"/>
      <c r="L473" s="13"/>
      <c r="M473" s="13"/>
    </row>
    <row r="474" spans="1:13" ht="15" customHeight="1" x14ac:dyDescent="0.4">
      <c r="A474" s="21"/>
      <c r="B474" s="21"/>
      <c r="C474" s="25"/>
      <c r="D474" s="25"/>
      <c r="E474" s="25"/>
      <c r="F474" s="25"/>
      <c r="G474" s="25"/>
      <c r="H474" s="25"/>
      <c r="I474" s="25"/>
    </row>
    <row r="475" spans="1:13" ht="27" customHeight="1" x14ac:dyDescent="0.4">
      <c r="A475" s="4" t="str">
        <f>MASTER!$A69</f>
        <v>62-23-68-040 U H</v>
      </c>
      <c r="B475" s="43" t="str">
        <f>MASTER!$B69</f>
        <v>ETIQUETA ADESIVA COM IDENTIFICA€ÇO DE VOLTAGEM CABO DE REDE E TV, ROTEADOR, SOM, FIOS, CONECTORES E ETC</v>
      </c>
      <c r="C475" s="44"/>
      <c r="D475" s="44"/>
      <c r="E475" s="44"/>
      <c r="F475" s="44"/>
      <c r="G475" s="44"/>
      <c r="H475" s="44"/>
      <c r="I475" s="45"/>
      <c r="J475" s="15">
        <f>MASTER!$D69</f>
        <v>14</v>
      </c>
      <c r="K475" s="27" t="str">
        <f>IF(I480&lt;&gt;J475, "ERRO", "OK")</f>
        <v>OK</v>
      </c>
    </row>
    <row r="476" spans="1:13" s="2" customFormat="1" ht="14.25" customHeight="1" x14ac:dyDescent="0.25">
      <c r="A476" s="46" t="s">
        <v>1</v>
      </c>
      <c r="B476" s="46"/>
      <c r="C476" s="18" t="s">
        <v>4</v>
      </c>
      <c r="D476" s="18" t="s">
        <v>2</v>
      </c>
      <c r="E476" s="18" t="s">
        <v>3</v>
      </c>
      <c r="F476" s="18" t="s">
        <v>5</v>
      </c>
      <c r="G476" s="18" t="s">
        <v>11</v>
      </c>
      <c r="H476" s="18" t="s">
        <v>12</v>
      </c>
      <c r="I476" s="18" t="s">
        <v>0</v>
      </c>
      <c r="J476" s="15"/>
      <c r="K476" s="27"/>
    </row>
    <row r="477" spans="1:13" s="2" customFormat="1" ht="14.25" customHeight="1" x14ac:dyDescent="0.25">
      <c r="A477" s="41"/>
      <c r="B477" s="42"/>
      <c r="C477" s="26"/>
      <c r="D477" s="26"/>
      <c r="E477" s="26"/>
      <c r="F477" s="26">
        <v>14</v>
      </c>
      <c r="G477" s="26"/>
      <c r="H477" s="26"/>
      <c r="I477" s="26">
        <f>ROUND(PRODUCT(C477:H477),2)</f>
        <v>14</v>
      </c>
      <c r="J477" s="15"/>
      <c r="K477" s="27"/>
    </row>
    <row r="478" spans="1:13" s="2" customFormat="1" ht="14.25" hidden="1" customHeight="1" x14ac:dyDescent="0.25">
      <c r="A478" s="41"/>
      <c r="B478" s="42"/>
      <c r="C478" s="26"/>
      <c r="D478" s="26"/>
      <c r="E478" s="26"/>
      <c r="F478" s="26"/>
      <c r="G478" s="26"/>
      <c r="H478" s="26"/>
      <c r="I478" s="26">
        <f>ROUND(PRODUCT(C478:H478),2)</f>
        <v>0</v>
      </c>
      <c r="J478" s="15"/>
      <c r="K478" s="27"/>
    </row>
    <row r="479" spans="1:13" ht="15" hidden="1" customHeight="1" x14ac:dyDescent="0.4">
      <c r="A479" s="41"/>
      <c r="B479" s="42"/>
      <c r="C479" s="26"/>
      <c r="D479" s="26"/>
      <c r="E479" s="26"/>
      <c r="F479" s="26"/>
      <c r="G479" s="26"/>
      <c r="H479" s="26"/>
      <c r="I479" s="26">
        <f>ROUND(PRODUCT(C479:H479),2)</f>
        <v>0</v>
      </c>
      <c r="K479" s="27"/>
    </row>
    <row r="480" spans="1:13" ht="15" customHeight="1" x14ac:dyDescent="0.4">
      <c r="A480" s="3"/>
      <c r="B480" s="3"/>
      <c r="C480" s="20"/>
      <c r="D480" s="20"/>
      <c r="E480" s="20"/>
      <c r="F480" s="20"/>
      <c r="G480" s="20"/>
      <c r="H480" s="19" t="str">
        <f>MASTER!$C69</f>
        <v>UN</v>
      </c>
      <c r="I480" s="19">
        <f>ROUND(SUM(I477:I479),2)</f>
        <v>14</v>
      </c>
      <c r="J480" s="16"/>
      <c r="K480" s="27"/>
      <c r="L480" s="13"/>
      <c r="M480" s="13"/>
    </row>
    <row r="481" spans="1:13" ht="15" customHeight="1" x14ac:dyDescent="0.4">
      <c r="A481" s="21"/>
      <c r="B481" s="21"/>
      <c r="C481" s="25"/>
      <c r="D481" s="25"/>
      <c r="E481" s="25"/>
      <c r="F481" s="25"/>
      <c r="G481" s="25"/>
      <c r="H481" s="25"/>
      <c r="I481" s="25"/>
      <c r="K481" s="27"/>
      <c r="L481" s="13"/>
      <c r="M481" s="13"/>
    </row>
    <row r="482" spans="1:13" ht="23.25" customHeight="1" x14ac:dyDescent="0.4">
      <c r="A482" s="4" t="str">
        <f>MASTER!$A70</f>
        <v>64-23-74-164 O H</v>
      </c>
      <c r="B482" s="43" t="str">
        <f>MASTER!$B70</f>
        <v>PARAFUSO CABE€A LENTILHA AUTO TRAV 1/4 X1/2</v>
      </c>
      <c r="C482" s="44"/>
      <c r="D482" s="44"/>
      <c r="E482" s="44"/>
      <c r="F482" s="44"/>
      <c r="G482" s="44"/>
      <c r="H482" s="44"/>
      <c r="I482" s="45"/>
      <c r="J482" s="15">
        <f>MASTER!$D70</f>
        <v>1800</v>
      </c>
      <c r="K482" s="27" t="str">
        <f>IF(I487&lt;&gt;J482, "ERRO", "OK")</f>
        <v>OK</v>
      </c>
      <c r="L482" s="13"/>
      <c r="M482" s="13"/>
    </row>
    <row r="483" spans="1:13" s="2" customFormat="1" ht="14.25" customHeight="1" x14ac:dyDescent="0.25">
      <c r="A483" s="46" t="s">
        <v>1</v>
      </c>
      <c r="B483" s="46"/>
      <c r="C483" s="18" t="s">
        <v>4</v>
      </c>
      <c r="D483" s="18" t="s">
        <v>2</v>
      </c>
      <c r="E483" s="18" t="s">
        <v>3</v>
      </c>
      <c r="F483" s="18" t="s">
        <v>5</v>
      </c>
      <c r="G483" s="18" t="s">
        <v>11</v>
      </c>
      <c r="H483" s="18" t="s">
        <v>12</v>
      </c>
      <c r="I483" s="18" t="s">
        <v>0</v>
      </c>
      <c r="J483" s="15"/>
      <c r="K483" s="27"/>
      <c r="L483" s="13"/>
      <c r="M483" s="13"/>
    </row>
    <row r="484" spans="1:13" s="2" customFormat="1" ht="14.25" customHeight="1" x14ac:dyDescent="0.25">
      <c r="A484" s="41"/>
      <c r="B484" s="42"/>
      <c r="C484" s="26"/>
      <c r="D484" s="26"/>
      <c r="E484" s="26"/>
      <c r="F484" s="26">
        <v>1800</v>
      </c>
      <c r="G484" s="26"/>
      <c r="H484" s="26"/>
      <c r="I484" s="26">
        <f>ROUND(PRODUCT(C484:H484),2)</f>
        <v>1800</v>
      </c>
      <c r="J484" s="15"/>
      <c r="K484" s="27"/>
      <c r="L484" s="13"/>
      <c r="M484" s="13"/>
    </row>
    <row r="485" spans="1:13" s="2" customFormat="1" ht="14.25" hidden="1" customHeight="1" x14ac:dyDescent="0.4">
      <c r="A485" s="41"/>
      <c r="B485" s="42"/>
      <c r="C485" s="26"/>
      <c r="D485" s="26"/>
      <c r="E485" s="26"/>
      <c r="F485" s="26"/>
      <c r="G485" s="26"/>
      <c r="H485" s="26"/>
      <c r="I485" s="26">
        <f>ROUND(PRODUCT(C485:H485),2)</f>
        <v>0</v>
      </c>
      <c r="J485" s="15"/>
      <c r="K485" s="28"/>
      <c r="L485" s="13"/>
      <c r="M485" s="13"/>
    </row>
    <row r="486" spans="1:13" ht="15" hidden="1" customHeight="1" x14ac:dyDescent="0.4">
      <c r="A486" s="41"/>
      <c r="B486" s="42"/>
      <c r="C486" s="26"/>
      <c r="D486" s="26"/>
      <c r="E486" s="26"/>
      <c r="F486" s="26"/>
      <c r="G486" s="26"/>
      <c r="H486" s="26"/>
      <c r="I486" s="26">
        <f>ROUND(PRODUCT(C486:H486),2)</f>
        <v>0</v>
      </c>
      <c r="L486" s="13"/>
      <c r="M486" s="13"/>
    </row>
    <row r="487" spans="1:13" ht="15" customHeight="1" x14ac:dyDescent="0.4">
      <c r="A487" s="3"/>
      <c r="B487" s="3"/>
      <c r="C487" s="20"/>
      <c r="D487" s="20"/>
      <c r="E487" s="20"/>
      <c r="F487" s="20"/>
      <c r="G487" s="20"/>
      <c r="H487" s="19" t="str">
        <f>MASTER!$C70</f>
        <v>UN</v>
      </c>
      <c r="I487" s="19">
        <f>ROUND(SUM(I484:I486),2)</f>
        <v>1800</v>
      </c>
      <c r="J487" s="16"/>
      <c r="K487" s="29"/>
      <c r="L487" s="13"/>
      <c r="M487" s="13"/>
    </row>
    <row r="488" spans="1:13" ht="15" customHeight="1" x14ac:dyDescent="0.4">
      <c r="A488" s="21"/>
      <c r="B488" s="21"/>
      <c r="C488" s="25"/>
      <c r="D488" s="25"/>
      <c r="E488" s="25"/>
      <c r="F488" s="25"/>
      <c r="G488" s="25"/>
      <c r="H488" s="25"/>
      <c r="I488" s="25"/>
    </row>
    <row r="489" spans="1:13" ht="23.25" customHeight="1" x14ac:dyDescent="0.4">
      <c r="A489" s="4" t="str">
        <f>MASTER!$A71</f>
        <v>62-23-65-115 U H</v>
      </c>
      <c r="B489" s="43" t="str">
        <f>MASTER!$B71</f>
        <v>BUCHA COM ARRUELA ALUMINIO 1. 1/2, PARAELETRODUTO - FORNECIMENTO E INSTALA€ÇO</v>
      </c>
      <c r="C489" s="44"/>
      <c r="D489" s="44"/>
      <c r="E489" s="44"/>
      <c r="F489" s="44"/>
      <c r="G489" s="44"/>
      <c r="H489" s="44"/>
      <c r="I489" s="45"/>
      <c r="J489" s="15">
        <f>MASTER!$D71</f>
        <v>500</v>
      </c>
      <c r="K489" s="27" t="str">
        <f>IF(I494&lt;&gt;J489, "ERRO", "OK")</f>
        <v>OK</v>
      </c>
    </row>
    <row r="490" spans="1:13" s="2" customFormat="1" ht="14.25" customHeight="1" x14ac:dyDescent="0.25">
      <c r="A490" s="46" t="s">
        <v>1</v>
      </c>
      <c r="B490" s="46"/>
      <c r="C490" s="18" t="s">
        <v>4</v>
      </c>
      <c r="D490" s="18" t="s">
        <v>2</v>
      </c>
      <c r="E490" s="18" t="s">
        <v>3</v>
      </c>
      <c r="F490" s="18" t="s">
        <v>5</v>
      </c>
      <c r="G490" s="18" t="s">
        <v>11</v>
      </c>
      <c r="H490" s="18" t="s">
        <v>12</v>
      </c>
      <c r="I490" s="18" t="s">
        <v>0</v>
      </c>
      <c r="J490" s="15"/>
      <c r="K490" s="27"/>
    </row>
    <row r="491" spans="1:13" s="2" customFormat="1" ht="14.25" customHeight="1" x14ac:dyDescent="0.25">
      <c r="A491" s="41"/>
      <c r="B491" s="42"/>
      <c r="C491" s="26"/>
      <c r="D491" s="26"/>
      <c r="E491" s="26"/>
      <c r="F491" s="26">
        <v>500</v>
      </c>
      <c r="G491" s="26"/>
      <c r="H491" s="26"/>
      <c r="I491" s="26">
        <f>ROUND(PRODUCT(C491:H491),2)</f>
        <v>500</v>
      </c>
      <c r="J491" s="15"/>
      <c r="K491" s="27"/>
    </row>
    <row r="492" spans="1:13" s="2" customFormat="1" ht="14.25" hidden="1" customHeight="1" x14ac:dyDescent="0.25">
      <c r="A492" s="41"/>
      <c r="B492" s="42"/>
      <c r="C492" s="26"/>
      <c r="D492" s="26"/>
      <c r="E492" s="26"/>
      <c r="F492" s="26"/>
      <c r="G492" s="26"/>
      <c r="H492" s="26"/>
      <c r="I492" s="26">
        <f>ROUND(PRODUCT(C492:H492),2)</f>
        <v>0</v>
      </c>
      <c r="J492" s="15"/>
      <c r="K492" s="27"/>
    </row>
    <row r="493" spans="1:13" ht="15" hidden="1" customHeight="1" x14ac:dyDescent="0.4">
      <c r="A493" s="41"/>
      <c r="B493" s="42"/>
      <c r="C493" s="26"/>
      <c r="D493" s="26"/>
      <c r="E493" s="26"/>
      <c r="F493" s="26"/>
      <c r="G493" s="26"/>
      <c r="H493" s="26"/>
      <c r="I493" s="26">
        <f>ROUND(PRODUCT(C493:H493),2)</f>
        <v>0</v>
      </c>
      <c r="K493" s="27"/>
    </row>
    <row r="494" spans="1:13" ht="15" customHeight="1" x14ac:dyDescent="0.4">
      <c r="A494" s="3"/>
      <c r="B494" s="3"/>
      <c r="C494" s="20"/>
      <c r="D494" s="20"/>
      <c r="E494" s="20"/>
      <c r="F494" s="20"/>
      <c r="G494" s="20"/>
      <c r="H494" s="19" t="str">
        <f>MASTER!$C71</f>
        <v>UN</v>
      </c>
      <c r="I494" s="19">
        <f>ROUND(SUM(I491:I493),2)</f>
        <v>500</v>
      </c>
      <c r="J494" s="16"/>
      <c r="K494" s="27"/>
      <c r="L494" s="13"/>
      <c r="M494" s="13"/>
    </row>
    <row r="495" spans="1:13" ht="15" customHeight="1" x14ac:dyDescent="0.4">
      <c r="A495" s="21"/>
      <c r="B495" s="21"/>
      <c r="C495" s="25"/>
      <c r="D495" s="25"/>
      <c r="E495" s="25"/>
      <c r="F495" s="25"/>
      <c r="G495" s="25"/>
      <c r="H495" s="25"/>
      <c r="I495" s="25"/>
      <c r="K495" s="27"/>
      <c r="L495" s="13"/>
      <c r="M495" s="13"/>
    </row>
    <row r="496" spans="1:13" ht="23.25" customHeight="1" x14ac:dyDescent="0.4">
      <c r="A496" s="40" t="str">
        <f>MASTER!$A72</f>
        <v>001-008</v>
      </c>
      <c r="B496" s="47" t="str">
        <f>MASTER!$B72</f>
        <v>LÓGICA</v>
      </c>
      <c r="C496" s="48"/>
      <c r="D496" s="48"/>
      <c r="E496" s="48"/>
      <c r="F496" s="48"/>
      <c r="G496" s="48"/>
      <c r="H496" s="48"/>
      <c r="I496" s="49"/>
      <c r="J496" s="15">
        <f>MASTER!$D72</f>
        <v>0</v>
      </c>
      <c r="K496" s="27" t="str">
        <f>IF(I501&lt;&gt;J496, "ERRO", "OK")</f>
        <v>OK</v>
      </c>
      <c r="L496" s="13"/>
      <c r="M496" s="13"/>
    </row>
    <row r="497" spans="1:13" s="2" customFormat="1" ht="14.25" hidden="1" customHeight="1" x14ac:dyDescent="0.25">
      <c r="A497" s="46" t="s">
        <v>1</v>
      </c>
      <c r="B497" s="46"/>
      <c r="C497" s="18" t="s">
        <v>4</v>
      </c>
      <c r="D497" s="18" t="s">
        <v>2</v>
      </c>
      <c r="E497" s="18" t="s">
        <v>3</v>
      </c>
      <c r="F497" s="18" t="s">
        <v>5</v>
      </c>
      <c r="G497" s="18" t="s">
        <v>11</v>
      </c>
      <c r="H497" s="18" t="s">
        <v>12</v>
      </c>
      <c r="I497" s="18" t="s">
        <v>0</v>
      </c>
      <c r="J497" s="15"/>
      <c r="K497" s="27"/>
      <c r="L497" s="13"/>
      <c r="M497" s="13"/>
    </row>
    <row r="498" spans="1:13" s="2" customFormat="1" ht="14.25" hidden="1" customHeight="1" x14ac:dyDescent="0.25">
      <c r="A498" s="41"/>
      <c r="B498" s="42"/>
      <c r="C498" s="26"/>
      <c r="D498" s="26"/>
      <c r="E498" s="26"/>
      <c r="F498" s="26"/>
      <c r="G498" s="26"/>
      <c r="H498" s="26"/>
      <c r="I498" s="26">
        <f>ROUND(PRODUCT(C498:H498),2)</f>
        <v>0</v>
      </c>
      <c r="J498" s="15"/>
      <c r="K498" s="27"/>
      <c r="L498" s="13"/>
      <c r="M498" s="13"/>
    </row>
    <row r="499" spans="1:13" s="2" customFormat="1" ht="14.25" hidden="1" customHeight="1" x14ac:dyDescent="0.4">
      <c r="A499" s="41"/>
      <c r="B499" s="42"/>
      <c r="C499" s="26"/>
      <c r="D499" s="26"/>
      <c r="E499" s="26"/>
      <c r="F499" s="26"/>
      <c r="G499" s="26"/>
      <c r="H499" s="26"/>
      <c r="I499" s="26">
        <f>ROUND(PRODUCT(C499:H499),2)</f>
        <v>0</v>
      </c>
      <c r="J499" s="15"/>
      <c r="K499" s="28"/>
      <c r="L499" s="13"/>
      <c r="M499" s="13"/>
    </row>
    <row r="500" spans="1:13" ht="15" hidden="1" customHeight="1" x14ac:dyDescent="0.4">
      <c r="A500" s="41"/>
      <c r="B500" s="42"/>
      <c r="C500" s="26"/>
      <c r="D500" s="26"/>
      <c r="E500" s="26"/>
      <c r="F500" s="26"/>
      <c r="G500" s="26"/>
      <c r="H500" s="26"/>
      <c r="I500" s="26">
        <f>ROUND(PRODUCT(C500:H500),2)</f>
        <v>0</v>
      </c>
      <c r="L500" s="13"/>
      <c r="M500" s="13"/>
    </row>
    <row r="501" spans="1:13" ht="15" hidden="1" customHeight="1" x14ac:dyDescent="0.4">
      <c r="A501" s="3"/>
      <c r="B501" s="3"/>
      <c r="C501" s="20"/>
      <c r="D501" s="20"/>
      <c r="E501" s="20"/>
      <c r="F501" s="20"/>
      <c r="G501" s="20"/>
      <c r="H501" s="19">
        <f>MASTER!$C72</f>
        <v>0</v>
      </c>
      <c r="I501" s="19">
        <f>ROUND(SUM(I498:I500),2)</f>
        <v>0</v>
      </c>
      <c r="J501" s="16"/>
      <c r="K501" s="29"/>
      <c r="L501" s="13"/>
      <c r="M501" s="13"/>
    </row>
    <row r="502" spans="1:13" ht="15" hidden="1" customHeight="1" x14ac:dyDescent="0.4">
      <c r="A502" s="21"/>
      <c r="B502" s="21"/>
      <c r="C502" s="25"/>
      <c r="D502" s="25"/>
      <c r="E502" s="25"/>
      <c r="F502" s="25"/>
      <c r="G502" s="25"/>
      <c r="H502" s="25"/>
      <c r="I502" s="25"/>
    </row>
    <row r="503" spans="1:13" ht="23.25" customHeight="1" x14ac:dyDescent="0.4">
      <c r="A503" s="4" t="str">
        <f>MASTER!$A73</f>
        <v>66-23-68-038 O H</v>
      </c>
      <c r="B503" s="43" t="str">
        <f>MASTER!$B73</f>
        <v>TOMADA DUPLA PARA LàGICA RJ45, CAT.6,COMCAIXA PVC, SOBREPOR, COMPLETA</v>
      </c>
      <c r="C503" s="44"/>
      <c r="D503" s="44"/>
      <c r="E503" s="44"/>
      <c r="F503" s="44"/>
      <c r="G503" s="44"/>
      <c r="H503" s="44"/>
      <c r="I503" s="45"/>
      <c r="J503" s="15">
        <f>MASTER!$D73</f>
        <v>27</v>
      </c>
      <c r="K503" s="27" t="str">
        <f>IF(I508&lt;&gt;J503, "ERRO", "OK")</f>
        <v>OK</v>
      </c>
    </row>
    <row r="504" spans="1:13" s="2" customFormat="1" ht="14.25" customHeight="1" x14ac:dyDescent="0.25">
      <c r="A504" s="46" t="s">
        <v>1</v>
      </c>
      <c r="B504" s="46"/>
      <c r="C504" s="18" t="s">
        <v>4</v>
      </c>
      <c r="D504" s="18" t="s">
        <v>2</v>
      </c>
      <c r="E504" s="18" t="s">
        <v>3</v>
      </c>
      <c r="F504" s="18" t="s">
        <v>5</v>
      </c>
      <c r="G504" s="18" t="s">
        <v>11</v>
      </c>
      <c r="H504" s="18" t="s">
        <v>12</v>
      </c>
      <c r="I504" s="18" t="s">
        <v>0</v>
      </c>
      <c r="J504" s="15"/>
      <c r="K504" s="27"/>
    </row>
    <row r="505" spans="1:13" s="2" customFormat="1" ht="14.25" customHeight="1" x14ac:dyDescent="0.25">
      <c r="A505" s="41"/>
      <c r="B505" s="42"/>
      <c r="C505" s="26"/>
      <c r="D505" s="26"/>
      <c r="E505" s="26"/>
      <c r="F505" s="26">
        <v>27</v>
      </c>
      <c r="G505" s="26"/>
      <c r="H505" s="26"/>
      <c r="I505" s="26">
        <f>ROUND(PRODUCT(C505:H505),2)</f>
        <v>27</v>
      </c>
      <c r="J505" s="15"/>
      <c r="K505" s="27"/>
    </row>
    <row r="506" spans="1:13" s="2" customFormat="1" ht="14.25" hidden="1" customHeight="1" x14ac:dyDescent="0.25">
      <c r="A506" s="41"/>
      <c r="B506" s="42"/>
      <c r="C506" s="26"/>
      <c r="D506" s="26"/>
      <c r="E506" s="26"/>
      <c r="F506" s="26"/>
      <c r="G506" s="26"/>
      <c r="H506" s="26"/>
      <c r="I506" s="26">
        <f>ROUND(PRODUCT(C506:H506),2)</f>
        <v>0</v>
      </c>
      <c r="J506" s="15"/>
      <c r="K506" s="27"/>
    </row>
    <row r="507" spans="1:13" ht="15" hidden="1" customHeight="1" x14ac:dyDescent="0.4">
      <c r="A507" s="41"/>
      <c r="B507" s="42"/>
      <c r="C507" s="26"/>
      <c r="D507" s="26"/>
      <c r="E507" s="26"/>
      <c r="F507" s="26"/>
      <c r="G507" s="26"/>
      <c r="H507" s="26"/>
      <c r="I507" s="26">
        <f>ROUND(PRODUCT(C507:H507),2)</f>
        <v>0</v>
      </c>
      <c r="K507" s="27"/>
    </row>
    <row r="508" spans="1:13" ht="15" customHeight="1" x14ac:dyDescent="0.4">
      <c r="A508" s="3"/>
      <c r="B508" s="3"/>
      <c r="C508" s="20"/>
      <c r="D508" s="20"/>
      <c r="E508" s="20"/>
      <c r="F508" s="20"/>
      <c r="G508" s="20"/>
      <c r="H508" s="19" t="str">
        <f>MASTER!$C73</f>
        <v>UN</v>
      </c>
      <c r="I508" s="19">
        <f>ROUND(SUM(I505:I507),2)</f>
        <v>27</v>
      </c>
      <c r="J508" s="16"/>
      <c r="K508" s="27"/>
      <c r="L508" s="13"/>
      <c r="M508" s="13"/>
    </row>
    <row r="509" spans="1:13" ht="15" customHeight="1" x14ac:dyDescent="0.4">
      <c r="A509" s="21"/>
      <c r="B509" s="21"/>
      <c r="C509" s="25"/>
      <c r="D509" s="25"/>
      <c r="E509" s="25"/>
      <c r="F509" s="25"/>
      <c r="G509" s="25"/>
      <c r="H509" s="25"/>
      <c r="I509" s="25"/>
      <c r="K509" s="27"/>
      <c r="L509" s="13"/>
      <c r="M509" s="13"/>
    </row>
    <row r="510" spans="1:13" ht="23.25" customHeight="1" x14ac:dyDescent="0.4">
      <c r="A510" s="4" t="str">
        <f>MASTER!$A74</f>
        <v>64-23-74-148 O H</v>
      </c>
      <c r="B510" s="43" t="str">
        <f>MASTER!$B74</f>
        <v>CONECTOR RJ45 FÒMEA - CAT 6 - FORNECIMENTO E INSTALA€ÇO     ORSE:07164</v>
      </c>
      <c r="C510" s="44"/>
      <c r="D510" s="44"/>
      <c r="E510" s="44"/>
      <c r="F510" s="44"/>
      <c r="G510" s="44"/>
      <c r="H510" s="44"/>
      <c r="I510" s="45"/>
      <c r="J510" s="15">
        <f>MASTER!$D74</f>
        <v>27</v>
      </c>
      <c r="K510" s="27" t="str">
        <f>IF(I515&lt;&gt;J510, "ERRO", "OK")</f>
        <v>OK</v>
      </c>
      <c r="L510" s="13"/>
      <c r="M510" s="13"/>
    </row>
    <row r="511" spans="1:13" s="2" customFormat="1" ht="14.25" customHeight="1" x14ac:dyDescent="0.25">
      <c r="A511" s="46" t="s">
        <v>1</v>
      </c>
      <c r="B511" s="46"/>
      <c r="C511" s="18" t="s">
        <v>4</v>
      </c>
      <c r="D511" s="18" t="s">
        <v>2</v>
      </c>
      <c r="E511" s="18" t="s">
        <v>3</v>
      </c>
      <c r="F511" s="18" t="s">
        <v>5</v>
      </c>
      <c r="G511" s="18" t="s">
        <v>11</v>
      </c>
      <c r="H511" s="18" t="s">
        <v>12</v>
      </c>
      <c r="I511" s="18" t="s">
        <v>0</v>
      </c>
      <c r="J511" s="15"/>
      <c r="K511" s="27"/>
      <c r="L511" s="13"/>
      <c r="M511" s="13"/>
    </row>
    <row r="512" spans="1:13" s="2" customFormat="1" ht="14.25" customHeight="1" x14ac:dyDescent="0.25">
      <c r="A512" s="41"/>
      <c r="B512" s="42"/>
      <c r="C512" s="26"/>
      <c r="D512" s="26"/>
      <c r="E512" s="26"/>
      <c r="F512" s="26">
        <v>27</v>
      </c>
      <c r="G512" s="26"/>
      <c r="H512" s="26"/>
      <c r="I512" s="26">
        <f>ROUND(PRODUCT(C512:H512),2)</f>
        <v>27</v>
      </c>
      <c r="J512" s="15"/>
      <c r="K512" s="27"/>
      <c r="L512" s="13"/>
      <c r="M512" s="13"/>
    </row>
    <row r="513" spans="1:13" s="2" customFormat="1" ht="14.25" hidden="1" customHeight="1" x14ac:dyDescent="0.4">
      <c r="A513" s="41"/>
      <c r="B513" s="42"/>
      <c r="C513" s="26"/>
      <c r="D513" s="26"/>
      <c r="E513" s="26"/>
      <c r="F513" s="26"/>
      <c r="G513" s="26"/>
      <c r="H513" s="26"/>
      <c r="I513" s="26">
        <f>ROUND(PRODUCT(C513:H513),2)</f>
        <v>0</v>
      </c>
      <c r="J513" s="15"/>
      <c r="K513" s="28"/>
      <c r="L513" s="13"/>
      <c r="M513" s="13"/>
    </row>
    <row r="514" spans="1:13" ht="15" hidden="1" customHeight="1" x14ac:dyDescent="0.4">
      <c r="A514" s="41"/>
      <c r="B514" s="42"/>
      <c r="C514" s="26"/>
      <c r="D514" s="26"/>
      <c r="E514" s="26"/>
      <c r="F514" s="26"/>
      <c r="G514" s="26"/>
      <c r="H514" s="26"/>
      <c r="I514" s="26">
        <f>ROUND(PRODUCT(C514:H514),2)</f>
        <v>0</v>
      </c>
      <c r="L514" s="13"/>
      <c r="M514" s="13"/>
    </row>
    <row r="515" spans="1:13" ht="15" customHeight="1" x14ac:dyDescent="0.4">
      <c r="A515" s="3"/>
      <c r="B515" s="3"/>
      <c r="C515" s="20"/>
      <c r="D515" s="20"/>
      <c r="E515" s="20"/>
      <c r="F515" s="20"/>
      <c r="G515" s="20"/>
      <c r="H515" s="19" t="str">
        <f>MASTER!$C74</f>
        <v>UN</v>
      </c>
      <c r="I515" s="19">
        <f>ROUND(SUM(I512:I514),2)</f>
        <v>27</v>
      </c>
      <c r="J515" s="16"/>
      <c r="K515" s="29"/>
      <c r="L515" s="13"/>
      <c r="M515" s="13"/>
    </row>
    <row r="516" spans="1:13" ht="15" customHeight="1" x14ac:dyDescent="0.4">
      <c r="A516" s="21"/>
      <c r="B516" s="21"/>
      <c r="C516" s="25"/>
      <c r="D516" s="25"/>
      <c r="E516" s="25"/>
      <c r="F516" s="25"/>
      <c r="G516" s="25"/>
      <c r="H516" s="25"/>
      <c r="I516" s="25"/>
    </row>
    <row r="517" spans="1:13" ht="23.25" customHeight="1" x14ac:dyDescent="0.4">
      <c r="A517" s="4" t="str">
        <f>MASTER!$A75</f>
        <v>64-23-74-092 O H</v>
      </c>
      <c r="B517" s="43" t="str">
        <f>MASTER!$B75</f>
        <v>CONECTORIZA€ÇO (CRIMPAGEM)DE CABO UTPCAT 6 EM PATCH PAINEL</v>
      </c>
      <c r="C517" s="44"/>
      <c r="D517" s="44"/>
      <c r="E517" s="44"/>
      <c r="F517" s="44"/>
      <c r="G517" s="44"/>
      <c r="H517" s="44"/>
      <c r="I517" s="45"/>
      <c r="J517" s="15">
        <f>MASTER!$D75</f>
        <v>50</v>
      </c>
      <c r="K517" s="27" t="str">
        <f>IF(I522&lt;&gt;J517, "ERRO", "OK")</f>
        <v>OK</v>
      </c>
    </row>
    <row r="518" spans="1:13" s="2" customFormat="1" ht="14.25" customHeight="1" x14ac:dyDescent="0.25">
      <c r="A518" s="46" t="s">
        <v>1</v>
      </c>
      <c r="B518" s="46"/>
      <c r="C518" s="18" t="s">
        <v>4</v>
      </c>
      <c r="D518" s="18" t="s">
        <v>2</v>
      </c>
      <c r="E518" s="18" t="s">
        <v>3</v>
      </c>
      <c r="F518" s="18" t="s">
        <v>5</v>
      </c>
      <c r="G518" s="18" t="s">
        <v>11</v>
      </c>
      <c r="H518" s="18" t="s">
        <v>12</v>
      </c>
      <c r="I518" s="18" t="s">
        <v>0</v>
      </c>
      <c r="J518" s="15"/>
      <c r="K518" s="27"/>
    </row>
    <row r="519" spans="1:13" s="2" customFormat="1" ht="14.25" customHeight="1" x14ac:dyDescent="0.25">
      <c r="A519" s="41"/>
      <c r="B519" s="42"/>
      <c r="C519" s="26"/>
      <c r="D519" s="26"/>
      <c r="E519" s="26"/>
      <c r="F519" s="26">
        <v>50</v>
      </c>
      <c r="G519" s="26"/>
      <c r="H519" s="26"/>
      <c r="I519" s="26">
        <f>ROUND(PRODUCT(C519:H519),2)</f>
        <v>50</v>
      </c>
      <c r="J519" s="15"/>
      <c r="K519" s="27"/>
    </row>
    <row r="520" spans="1:13" s="2" customFormat="1" ht="14.25" hidden="1" customHeight="1" x14ac:dyDescent="0.25">
      <c r="A520" s="41"/>
      <c r="B520" s="42"/>
      <c r="C520" s="26"/>
      <c r="D520" s="26"/>
      <c r="E520" s="26"/>
      <c r="F520" s="26"/>
      <c r="G520" s="26"/>
      <c r="H520" s="26"/>
      <c r="I520" s="26">
        <f>ROUND(PRODUCT(C520:H520),2)</f>
        <v>0</v>
      </c>
      <c r="J520" s="15"/>
      <c r="K520" s="27"/>
    </row>
    <row r="521" spans="1:13" ht="15" hidden="1" customHeight="1" x14ac:dyDescent="0.4">
      <c r="A521" s="41"/>
      <c r="B521" s="42"/>
      <c r="C521" s="26"/>
      <c r="D521" s="26"/>
      <c r="E521" s="26"/>
      <c r="F521" s="26"/>
      <c r="G521" s="26"/>
      <c r="H521" s="26"/>
      <c r="I521" s="26">
        <f>ROUND(PRODUCT(C521:H521),2)</f>
        <v>0</v>
      </c>
      <c r="K521" s="27"/>
    </row>
    <row r="522" spans="1:13" ht="15" customHeight="1" x14ac:dyDescent="0.4">
      <c r="A522" s="3"/>
      <c r="B522" s="3"/>
      <c r="C522" s="20"/>
      <c r="D522" s="20"/>
      <c r="E522" s="20"/>
      <c r="F522" s="20"/>
      <c r="G522" s="20"/>
      <c r="H522" s="19" t="str">
        <f>MASTER!$C75</f>
        <v>UN</v>
      </c>
      <c r="I522" s="19">
        <f>ROUND(SUM(I519:I521),2)</f>
        <v>50</v>
      </c>
      <c r="J522" s="16"/>
      <c r="K522" s="27"/>
      <c r="L522" s="13"/>
      <c r="M522" s="13"/>
    </row>
    <row r="523" spans="1:13" ht="15" customHeight="1" x14ac:dyDescent="0.4">
      <c r="A523" s="21"/>
      <c r="B523" s="21"/>
      <c r="C523" s="25"/>
      <c r="D523" s="25"/>
      <c r="E523" s="25"/>
      <c r="F523" s="25"/>
      <c r="G523" s="25"/>
      <c r="H523" s="25"/>
      <c r="I523" s="25"/>
      <c r="K523" s="27"/>
      <c r="L523" s="13"/>
      <c r="M523" s="13"/>
    </row>
    <row r="524" spans="1:13" ht="23.25" customHeight="1" x14ac:dyDescent="0.4">
      <c r="A524" s="4" t="str">
        <f>MASTER!$A76</f>
        <v>62-23-65-165 U H</v>
      </c>
      <c r="B524" s="43" t="str">
        <f>MASTER!$B76</f>
        <v>CERTIFICA€ÇO DE REDE CAT 6</v>
      </c>
      <c r="C524" s="44"/>
      <c r="D524" s="44"/>
      <c r="E524" s="44"/>
      <c r="F524" s="44"/>
      <c r="G524" s="44"/>
      <c r="H524" s="44"/>
      <c r="I524" s="45"/>
      <c r="J524" s="15">
        <f>MASTER!$D76</f>
        <v>50</v>
      </c>
      <c r="K524" s="27" t="str">
        <f>IF(I529&lt;&gt;J524, "ERRO", "OK")</f>
        <v>OK</v>
      </c>
      <c r="L524" s="13"/>
      <c r="M524" s="13"/>
    </row>
    <row r="525" spans="1:13" s="2" customFormat="1" ht="14.25" customHeight="1" x14ac:dyDescent="0.25">
      <c r="A525" s="46" t="s">
        <v>1</v>
      </c>
      <c r="B525" s="46"/>
      <c r="C525" s="18" t="s">
        <v>4</v>
      </c>
      <c r="D525" s="18" t="s">
        <v>2</v>
      </c>
      <c r="E525" s="18" t="s">
        <v>3</v>
      </c>
      <c r="F525" s="18" t="s">
        <v>5</v>
      </c>
      <c r="G525" s="18" t="s">
        <v>11</v>
      </c>
      <c r="H525" s="18" t="s">
        <v>12</v>
      </c>
      <c r="I525" s="18" t="s">
        <v>0</v>
      </c>
      <c r="J525" s="15"/>
      <c r="K525" s="27"/>
      <c r="L525" s="13"/>
      <c r="M525" s="13"/>
    </row>
    <row r="526" spans="1:13" s="2" customFormat="1" ht="14.25" customHeight="1" x14ac:dyDescent="0.25">
      <c r="A526" s="41"/>
      <c r="B526" s="42"/>
      <c r="C526" s="26"/>
      <c r="D526" s="26"/>
      <c r="E526" s="26"/>
      <c r="F526" s="26">
        <v>50</v>
      </c>
      <c r="G526" s="26"/>
      <c r="H526" s="26"/>
      <c r="I526" s="26">
        <f>ROUND(PRODUCT(C526:H526),2)</f>
        <v>50</v>
      </c>
      <c r="J526" s="15"/>
      <c r="K526" s="27"/>
      <c r="L526" s="13"/>
      <c r="M526" s="13"/>
    </row>
    <row r="527" spans="1:13" s="2" customFormat="1" ht="14.25" hidden="1" customHeight="1" x14ac:dyDescent="0.4">
      <c r="A527" s="41"/>
      <c r="B527" s="42"/>
      <c r="C527" s="26"/>
      <c r="D527" s="26"/>
      <c r="E527" s="26"/>
      <c r="F527" s="26"/>
      <c r="G527" s="26"/>
      <c r="H527" s="26"/>
      <c r="I527" s="26">
        <f>ROUND(PRODUCT(C527:H527),2)</f>
        <v>0</v>
      </c>
      <c r="J527" s="15"/>
      <c r="K527" s="28"/>
      <c r="L527" s="13"/>
      <c r="M527" s="13"/>
    </row>
    <row r="528" spans="1:13" ht="15" hidden="1" customHeight="1" x14ac:dyDescent="0.4">
      <c r="A528" s="41"/>
      <c r="B528" s="42"/>
      <c r="C528" s="26"/>
      <c r="D528" s="26"/>
      <c r="E528" s="26"/>
      <c r="F528" s="26"/>
      <c r="G528" s="26"/>
      <c r="H528" s="26"/>
      <c r="I528" s="26">
        <f>ROUND(PRODUCT(C528:H528),2)</f>
        <v>0</v>
      </c>
      <c r="L528" s="13"/>
      <c r="M528" s="13"/>
    </row>
    <row r="529" spans="1:13" ht="15" customHeight="1" x14ac:dyDescent="0.4">
      <c r="A529" s="3"/>
      <c r="B529" s="3"/>
      <c r="C529" s="20"/>
      <c r="D529" s="20"/>
      <c r="E529" s="20"/>
      <c r="F529" s="20"/>
      <c r="G529" s="20"/>
      <c r="H529" s="19" t="str">
        <f>MASTER!$C76</f>
        <v>PTO</v>
      </c>
      <c r="I529" s="19">
        <f>ROUND(SUM(I526:I528),2)</f>
        <v>50</v>
      </c>
      <c r="J529" s="16"/>
      <c r="K529" s="29"/>
      <c r="L529" s="13"/>
      <c r="M529" s="13"/>
    </row>
    <row r="530" spans="1:13" ht="15" customHeight="1" x14ac:dyDescent="0.4">
      <c r="A530" s="21"/>
      <c r="B530" s="21"/>
      <c r="C530" s="25"/>
      <c r="D530" s="25"/>
      <c r="E530" s="25"/>
      <c r="F530" s="25"/>
      <c r="G530" s="25"/>
      <c r="H530" s="25"/>
      <c r="I530" s="25"/>
    </row>
    <row r="531" spans="1:13" ht="27" customHeight="1" x14ac:dyDescent="0.4">
      <c r="A531" s="4" t="str">
        <f>MASTER!$A77</f>
        <v>01-11-01-034 C H</v>
      </c>
      <c r="B531" s="43" t="str">
        <f>MASTER!$B77</f>
        <v>ELETRODUTO RÖGIDO ROSCµVEL, PVC, DN 25 MM (3/4), PARA CIRCUITOS TERMINAIS, INSTALADO EM PAREDE - FORNECIMENTO E INSTALA€ÇO. AF_03/2023 CS: 91871</v>
      </c>
      <c r="C531" s="44"/>
      <c r="D531" s="44"/>
      <c r="E531" s="44"/>
      <c r="F531" s="44"/>
      <c r="G531" s="44"/>
      <c r="H531" s="44"/>
      <c r="I531" s="45"/>
      <c r="J531" s="15">
        <f>MASTER!$D77</f>
        <v>200</v>
      </c>
      <c r="K531" s="27" t="str">
        <f>IF(I536&lt;&gt;J531, "ERRO", "OK")</f>
        <v>OK</v>
      </c>
    </row>
    <row r="532" spans="1:13" s="2" customFormat="1" ht="14.25" customHeight="1" x14ac:dyDescent="0.25">
      <c r="A532" s="46" t="s">
        <v>1</v>
      </c>
      <c r="B532" s="46"/>
      <c r="C532" s="18" t="s">
        <v>4</v>
      </c>
      <c r="D532" s="18" t="s">
        <v>2</v>
      </c>
      <c r="E532" s="18" t="s">
        <v>3</v>
      </c>
      <c r="F532" s="18" t="s">
        <v>5</v>
      </c>
      <c r="G532" s="18" t="s">
        <v>11</v>
      </c>
      <c r="H532" s="18" t="s">
        <v>12</v>
      </c>
      <c r="I532" s="18" t="s">
        <v>0</v>
      </c>
      <c r="J532" s="15"/>
      <c r="K532" s="27"/>
    </row>
    <row r="533" spans="1:13" s="2" customFormat="1" ht="14.25" customHeight="1" x14ac:dyDescent="0.25">
      <c r="A533" s="41"/>
      <c r="B533" s="42"/>
      <c r="C533" s="26"/>
      <c r="D533" s="26"/>
      <c r="E533" s="26"/>
      <c r="F533" s="26">
        <v>200</v>
      </c>
      <c r="G533" s="26"/>
      <c r="H533" s="26"/>
      <c r="I533" s="26">
        <f>ROUND(PRODUCT(C533:H533),2)</f>
        <v>200</v>
      </c>
      <c r="J533" s="15"/>
      <c r="K533" s="27"/>
    </row>
    <row r="534" spans="1:13" s="2" customFormat="1" ht="14.25" hidden="1" customHeight="1" x14ac:dyDescent="0.25">
      <c r="A534" s="41"/>
      <c r="B534" s="42"/>
      <c r="C534" s="26"/>
      <c r="D534" s="26"/>
      <c r="E534" s="26"/>
      <c r="F534" s="26"/>
      <c r="G534" s="26"/>
      <c r="H534" s="26"/>
      <c r="I534" s="26">
        <f>ROUND(PRODUCT(C534:H534),2)</f>
        <v>0</v>
      </c>
      <c r="J534" s="15"/>
      <c r="K534" s="27"/>
    </row>
    <row r="535" spans="1:13" ht="15" hidden="1" customHeight="1" x14ac:dyDescent="0.4">
      <c r="A535" s="41"/>
      <c r="B535" s="42"/>
      <c r="C535" s="26"/>
      <c r="D535" s="26"/>
      <c r="E535" s="26"/>
      <c r="F535" s="26"/>
      <c r="G535" s="26"/>
      <c r="H535" s="26"/>
      <c r="I535" s="26">
        <f>ROUND(PRODUCT(C535:H535),2)</f>
        <v>0</v>
      </c>
      <c r="K535" s="27"/>
    </row>
    <row r="536" spans="1:13" ht="15" customHeight="1" x14ac:dyDescent="0.4">
      <c r="A536" s="3"/>
      <c r="B536" s="3"/>
      <c r="C536" s="20"/>
      <c r="D536" s="20"/>
      <c r="E536" s="20"/>
      <c r="F536" s="20"/>
      <c r="G536" s="20"/>
      <c r="H536" s="19" t="str">
        <f>MASTER!$C77</f>
        <v>M</v>
      </c>
      <c r="I536" s="19">
        <f>ROUND(SUM(I533:I535),2)</f>
        <v>200</v>
      </c>
      <c r="J536" s="16"/>
      <c r="K536" s="27"/>
      <c r="L536" s="13"/>
      <c r="M536" s="13"/>
    </row>
    <row r="537" spans="1:13" ht="15" customHeight="1" x14ac:dyDescent="0.4">
      <c r="A537" s="21"/>
      <c r="B537" s="21"/>
      <c r="C537" s="25"/>
      <c r="D537" s="25"/>
      <c r="E537" s="25"/>
      <c r="F537" s="25"/>
      <c r="G537" s="25"/>
      <c r="H537" s="25"/>
      <c r="I537" s="25"/>
      <c r="K537" s="27"/>
      <c r="L537" s="13"/>
      <c r="M537" s="13"/>
    </row>
    <row r="538" spans="1:13" ht="27" customHeight="1" x14ac:dyDescent="0.4">
      <c r="A538" s="4" t="str">
        <f>MASTER!$A78</f>
        <v>01-11-02-031 C H</v>
      </c>
      <c r="B538" s="43" t="str">
        <f>MASTER!$B78</f>
        <v>CURVA 90 GRAUS PARA ELETRODUTO, PVC, ROSCµVEL, DN 25 MM (3/4), PARA CIRCUITOS TERMINAIS, INSTALADA EM PAREDE - FORNECIMENTO E INSTALA€ÇO. AF_03/2023 CS: 91914</v>
      </c>
      <c r="C538" s="44"/>
      <c r="D538" s="44"/>
      <c r="E538" s="44"/>
      <c r="F538" s="44"/>
      <c r="G538" s="44"/>
      <c r="H538" s="44"/>
      <c r="I538" s="45"/>
      <c r="J538" s="15">
        <f>MASTER!$D78</f>
        <v>20</v>
      </c>
      <c r="K538" s="27" t="str">
        <f>IF(I543&lt;&gt;J538, "ERRO", "OK")</f>
        <v>OK</v>
      </c>
      <c r="L538" s="13"/>
      <c r="M538" s="13"/>
    </row>
    <row r="539" spans="1:13" s="2" customFormat="1" ht="14.25" customHeight="1" x14ac:dyDescent="0.25">
      <c r="A539" s="46" t="s">
        <v>1</v>
      </c>
      <c r="B539" s="46"/>
      <c r="C539" s="18" t="s">
        <v>4</v>
      </c>
      <c r="D539" s="18" t="s">
        <v>2</v>
      </c>
      <c r="E539" s="18" t="s">
        <v>3</v>
      </c>
      <c r="F539" s="18" t="s">
        <v>5</v>
      </c>
      <c r="G539" s="18" t="s">
        <v>11</v>
      </c>
      <c r="H539" s="18" t="s">
        <v>12</v>
      </c>
      <c r="I539" s="18" t="s">
        <v>0</v>
      </c>
      <c r="J539" s="15"/>
      <c r="K539" s="27"/>
      <c r="L539" s="13"/>
      <c r="M539" s="13"/>
    </row>
    <row r="540" spans="1:13" s="2" customFormat="1" ht="14.25" customHeight="1" x14ac:dyDescent="0.25">
      <c r="A540" s="41"/>
      <c r="B540" s="42"/>
      <c r="C540" s="26"/>
      <c r="D540" s="26"/>
      <c r="E540" s="26"/>
      <c r="F540" s="26">
        <v>20</v>
      </c>
      <c r="G540" s="26"/>
      <c r="H540" s="26"/>
      <c r="I540" s="26">
        <f>ROUND(PRODUCT(C540:H540),2)</f>
        <v>20</v>
      </c>
      <c r="J540" s="15"/>
      <c r="K540" s="27"/>
      <c r="L540" s="13"/>
      <c r="M540" s="13"/>
    </row>
    <row r="541" spans="1:13" s="2" customFormat="1" ht="14.25" hidden="1" customHeight="1" x14ac:dyDescent="0.4">
      <c r="A541" s="41"/>
      <c r="B541" s="42"/>
      <c r="C541" s="26"/>
      <c r="D541" s="26"/>
      <c r="E541" s="26"/>
      <c r="F541" s="26"/>
      <c r="G541" s="26"/>
      <c r="H541" s="26"/>
      <c r="I541" s="26">
        <f>ROUND(PRODUCT(C541:H541),2)</f>
        <v>0</v>
      </c>
      <c r="J541" s="15"/>
      <c r="K541" s="28"/>
      <c r="L541" s="13"/>
      <c r="M541" s="13"/>
    </row>
    <row r="542" spans="1:13" ht="15" hidden="1" customHeight="1" x14ac:dyDescent="0.4">
      <c r="A542" s="41"/>
      <c r="B542" s="42"/>
      <c r="C542" s="26"/>
      <c r="D542" s="26"/>
      <c r="E542" s="26"/>
      <c r="F542" s="26"/>
      <c r="G542" s="26"/>
      <c r="H542" s="26"/>
      <c r="I542" s="26">
        <f>ROUND(PRODUCT(C542:H542),2)</f>
        <v>0</v>
      </c>
      <c r="L542" s="13"/>
      <c r="M542" s="13"/>
    </row>
    <row r="543" spans="1:13" ht="15" customHeight="1" x14ac:dyDescent="0.4">
      <c r="A543" s="3"/>
      <c r="B543" s="3"/>
      <c r="C543" s="20"/>
      <c r="D543" s="20"/>
      <c r="E543" s="20"/>
      <c r="F543" s="20"/>
      <c r="G543" s="20"/>
      <c r="H543" s="19" t="str">
        <f>MASTER!$C78</f>
        <v>UN</v>
      </c>
      <c r="I543" s="19">
        <f>ROUND(SUM(I540:I542),2)</f>
        <v>20</v>
      </c>
      <c r="J543" s="16"/>
      <c r="K543" s="29"/>
      <c r="L543" s="13"/>
      <c r="M543" s="13"/>
    </row>
    <row r="544" spans="1:13" ht="15" customHeight="1" x14ac:dyDescent="0.4">
      <c r="A544" s="21"/>
      <c r="B544" s="21"/>
      <c r="C544" s="25"/>
      <c r="D544" s="25"/>
      <c r="E544" s="25"/>
      <c r="F544" s="25"/>
      <c r="G544" s="25"/>
      <c r="H544" s="25"/>
      <c r="I544" s="25"/>
    </row>
    <row r="545" spans="1:13" ht="27" customHeight="1" x14ac:dyDescent="0.4">
      <c r="A545" s="4" t="str">
        <f>MASTER!$A79</f>
        <v>01-11-02-010 C H</v>
      </c>
      <c r="B545" s="43" t="str">
        <f>MASTER!$B79</f>
        <v>LUVA PARA ELETRODUTO, PVC, ROSCµVEL, DN25 MM (3/4), PARA CIRCUITOS TERMINAIS, INSTALADA EM PAREDE - FORNECIMENTO E INSTALA€ÇO. AF_03/2023 CS: 91884</v>
      </c>
      <c r="C545" s="44"/>
      <c r="D545" s="44"/>
      <c r="E545" s="44"/>
      <c r="F545" s="44"/>
      <c r="G545" s="44"/>
      <c r="H545" s="44"/>
      <c r="I545" s="45"/>
      <c r="J545" s="15">
        <f>MASTER!$D79</f>
        <v>40</v>
      </c>
      <c r="K545" s="27" t="str">
        <f>IF(I550&lt;&gt;J545, "ERRO", "OK")</f>
        <v>OK</v>
      </c>
    </row>
    <row r="546" spans="1:13" s="2" customFormat="1" ht="14.25" customHeight="1" x14ac:dyDescent="0.25">
      <c r="A546" s="46" t="s">
        <v>1</v>
      </c>
      <c r="B546" s="46"/>
      <c r="C546" s="18" t="s">
        <v>4</v>
      </c>
      <c r="D546" s="18" t="s">
        <v>2</v>
      </c>
      <c r="E546" s="18" t="s">
        <v>3</v>
      </c>
      <c r="F546" s="18" t="s">
        <v>5</v>
      </c>
      <c r="G546" s="18" t="s">
        <v>11</v>
      </c>
      <c r="H546" s="18" t="s">
        <v>12</v>
      </c>
      <c r="I546" s="18" t="s">
        <v>0</v>
      </c>
      <c r="J546" s="15"/>
      <c r="K546" s="27"/>
    </row>
    <row r="547" spans="1:13" s="2" customFormat="1" ht="14.25" customHeight="1" x14ac:dyDescent="0.25">
      <c r="A547" s="41"/>
      <c r="B547" s="42"/>
      <c r="C547" s="26"/>
      <c r="D547" s="26"/>
      <c r="E547" s="26"/>
      <c r="F547" s="26">
        <v>40</v>
      </c>
      <c r="G547" s="26"/>
      <c r="H547" s="26"/>
      <c r="I547" s="26">
        <f>ROUND(PRODUCT(C547:H547),2)</f>
        <v>40</v>
      </c>
      <c r="J547" s="15"/>
      <c r="K547" s="27"/>
    </row>
    <row r="548" spans="1:13" s="2" customFormat="1" ht="14.25" hidden="1" customHeight="1" x14ac:dyDescent="0.25">
      <c r="A548" s="41"/>
      <c r="B548" s="42"/>
      <c r="C548" s="26"/>
      <c r="D548" s="26"/>
      <c r="E548" s="26"/>
      <c r="F548" s="26"/>
      <c r="G548" s="26"/>
      <c r="H548" s="26"/>
      <c r="I548" s="26">
        <f>ROUND(PRODUCT(C548:H548),2)</f>
        <v>0</v>
      </c>
      <c r="J548" s="15"/>
      <c r="K548" s="27"/>
    </row>
    <row r="549" spans="1:13" ht="15" hidden="1" customHeight="1" x14ac:dyDescent="0.4">
      <c r="A549" s="41"/>
      <c r="B549" s="42"/>
      <c r="C549" s="26"/>
      <c r="D549" s="26"/>
      <c r="E549" s="26"/>
      <c r="F549" s="26"/>
      <c r="G549" s="26"/>
      <c r="H549" s="26"/>
      <c r="I549" s="26">
        <f>ROUND(PRODUCT(C549:H549),2)</f>
        <v>0</v>
      </c>
      <c r="K549" s="27"/>
    </row>
    <row r="550" spans="1:13" ht="15" customHeight="1" x14ac:dyDescent="0.4">
      <c r="A550" s="3"/>
      <c r="B550" s="3"/>
      <c r="C550" s="20"/>
      <c r="D550" s="20"/>
      <c r="E550" s="20"/>
      <c r="F550" s="20"/>
      <c r="G550" s="20"/>
      <c r="H550" s="19" t="str">
        <f>MASTER!$C79</f>
        <v>UN</v>
      </c>
      <c r="I550" s="19">
        <f>ROUND(SUM(I547:I549),2)</f>
        <v>40</v>
      </c>
      <c r="J550" s="16"/>
      <c r="K550" s="27"/>
      <c r="L550" s="13"/>
      <c r="M550" s="13"/>
    </row>
    <row r="551" spans="1:13" ht="15" customHeight="1" x14ac:dyDescent="0.4">
      <c r="A551" s="22"/>
      <c r="B551" s="22"/>
      <c r="C551" s="23"/>
      <c r="D551" s="23"/>
      <c r="E551" s="23"/>
      <c r="F551" s="23"/>
      <c r="G551" s="23"/>
      <c r="H551" s="24"/>
      <c r="I551" s="24"/>
      <c r="J551" s="16"/>
      <c r="K551" s="27"/>
      <c r="L551" s="13"/>
      <c r="M551" s="13"/>
    </row>
    <row r="552" spans="1:13" ht="23.25" customHeight="1" x14ac:dyDescent="0.4">
      <c r="A552" s="4" t="str">
        <f>MASTER!$A80</f>
        <v>67-23-68-027 O H</v>
      </c>
      <c r="B552" s="43" t="str">
        <f>MASTER!$B80</f>
        <v>ABRA€ADEIRA EM PVC PARA ELETRODUTO PARACONDULETE =3/4, INCLUINDO BUCHA E PARAFUSO</v>
      </c>
      <c r="C552" s="44"/>
      <c r="D552" s="44"/>
      <c r="E552" s="44"/>
      <c r="F552" s="44"/>
      <c r="G552" s="44"/>
      <c r="H552" s="44"/>
      <c r="I552" s="45"/>
      <c r="J552" s="15">
        <f>MASTER!$D80</f>
        <v>200</v>
      </c>
      <c r="K552" s="27" t="str">
        <f>IF(I557&lt;&gt;J552, "ERRO", "OK")</f>
        <v>OK</v>
      </c>
      <c r="L552" s="13"/>
      <c r="M552" s="13"/>
    </row>
    <row r="553" spans="1:13" s="2" customFormat="1" ht="14.25" customHeight="1" x14ac:dyDescent="0.25">
      <c r="A553" s="46" t="s">
        <v>1</v>
      </c>
      <c r="B553" s="46"/>
      <c r="C553" s="18" t="s">
        <v>4</v>
      </c>
      <c r="D553" s="18" t="s">
        <v>2</v>
      </c>
      <c r="E553" s="18" t="s">
        <v>3</v>
      </c>
      <c r="F553" s="18" t="s">
        <v>5</v>
      </c>
      <c r="G553" s="18" t="s">
        <v>11</v>
      </c>
      <c r="H553" s="18" t="s">
        <v>12</v>
      </c>
      <c r="I553" s="18" t="s">
        <v>0</v>
      </c>
      <c r="J553" s="15"/>
      <c r="K553" s="27"/>
      <c r="L553" s="13"/>
      <c r="M553" s="13"/>
    </row>
    <row r="554" spans="1:13" s="2" customFormat="1" ht="14.25" customHeight="1" x14ac:dyDescent="0.25">
      <c r="A554" s="41"/>
      <c r="B554" s="42"/>
      <c r="C554" s="26"/>
      <c r="D554" s="26"/>
      <c r="E554" s="26"/>
      <c r="F554" s="26">
        <v>200</v>
      </c>
      <c r="G554" s="26"/>
      <c r="H554" s="26"/>
      <c r="I554" s="26">
        <f>ROUND(PRODUCT(C554:H554),2)</f>
        <v>200</v>
      </c>
      <c r="J554" s="15"/>
      <c r="K554" s="27"/>
      <c r="L554" s="13"/>
      <c r="M554" s="13"/>
    </row>
    <row r="555" spans="1:13" s="2" customFormat="1" ht="14.25" hidden="1" customHeight="1" x14ac:dyDescent="0.4">
      <c r="A555" s="41"/>
      <c r="B555" s="42"/>
      <c r="C555" s="26"/>
      <c r="D555" s="26"/>
      <c r="E555" s="26"/>
      <c r="F555" s="26"/>
      <c r="G555" s="26"/>
      <c r="H555" s="26"/>
      <c r="I555" s="26">
        <f>ROUND(PRODUCT(C555:H555),2)</f>
        <v>0</v>
      </c>
      <c r="J555" s="15"/>
      <c r="K555" s="28"/>
      <c r="L555" s="13"/>
      <c r="M555" s="13"/>
    </row>
    <row r="556" spans="1:13" ht="15" hidden="1" customHeight="1" x14ac:dyDescent="0.4">
      <c r="A556" s="41"/>
      <c r="B556" s="42"/>
      <c r="C556" s="26"/>
      <c r="D556" s="26"/>
      <c r="E556" s="26"/>
      <c r="F556" s="26"/>
      <c r="G556" s="26"/>
      <c r="H556" s="26"/>
      <c r="I556" s="26">
        <f>ROUND(PRODUCT(C556:H556),2)</f>
        <v>0</v>
      </c>
      <c r="L556" s="13"/>
      <c r="M556" s="13"/>
    </row>
    <row r="557" spans="1:13" ht="15" customHeight="1" x14ac:dyDescent="0.4">
      <c r="A557" s="3"/>
      <c r="B557" s="3"/>
      <c r="C557" s="20"/>
      <c r="D557" s="20"/>
      <c r="E557" s="20"/>
      <c r="F557" s="20"/>
      <c r="G557" s="20"/>
      <c r="H557" s="19" t="str">
        <f>MASTER!$C80</f>
        <v>UN</v>
      </c>
      <c r="I557" s="19">
        <f>ROUND(SUM(I554:I556),2)</f>
        <v>200</v>
      </c>
      <c r="J557" s="16"/>
      <c r="K557" s="29"/>
      <c r="L557" s="13"/>
      <c r="M557" s="13"/>
    </row>
    <row r="558" spans="1:13" ht="15" customHeight="1" x14ac:dyDescent="0.4">
      <c r="A558" s="21"/>
      <c r="B558" s="21"/>
      <c r="C558" s="25"/>
      <c r="D558" s="25"/>
      <c r="E558" s="25"/>
      <c r="F558" s="25"/>
      <c r="G558" s="25"/>
      <c r="H558" s="25"/>
      <c r="I558" s="25"/>
    </row>
    <row r="559" spans="1:13" ht="27" customHeight="1" x14ac:dyDescent="0.4">
      <c r="A559" s="4" t="str">
        <f>MASTER!$A81</f>
        <v>63-09-01-001 U H</v>
      </c>
      <c r="B559" s="43" t="str">
        <f>MASTER!$B81</f>
        <v>ELETROCALHA PERFURADA EM A€O GALVANIZADO 150X100X3000MM COM TAMPA - FORNECIMENTOE INSTALA€ÇO</v>
      </c>
      <c r="C559" s="44"/>
      <c r="D559" s="44"/>
      <c r="E559" s="44"/>
      <c r="F559" s="44"/>
      <c r="G559" s="44"/>
      <c r="H559" s="44"/>
      <c r="I559" s="45"/>
      <c r="J559" s="15">
        <f>MASTER!$D81</f>
        <v>18</v>
      </c>
      <c r="K559" s="27" t="str">
        <f>IF(I564&lt;&gt;J559, "ERRO", "OK")</f>
        <v>OK</v>
      </c>
    </row>
    <row r="560" spans="1:13" s="2" customFormat="1" ht="14.25" customHeight="1" x14ac:dyDescent="0.25">
      <c r="A560" s="46" t="s">
        <v>1</v>
      </c>
      <c r="B560" s="46"/>
      <c r="C560" s="18" t="s">
        <v>4</v>
      </c>
      <c r="D560" s="18" t="s">
        <v>2</v>
      </c>
      <c r="E560" s="18" t="s">
        <v>3</v>
      </c>
      <c r="F560" s="18" t="s">
        <v>5</v>
      </c>
      <c r="G560" s="18" t="s">
        <v>11</v>
      </c>
      <c r="H560" s="18" t="s">
        <v>12</v>
      </c>
      <c r="I560" s="18" t="s">
        <v>0</v>
      </c>
      <c r="J560" s="15"/>
      <c r="K560" s="27"/>
    </row>
    <row r="561" spans="1:13" s="2" customFormat="1" ht="14.25" hidden="1" customHeight="1" x14ac:dyDescent="0.25">
      <c r="A561" s="41"/>
      <c r="B561" s="42"/>
      <c r="C561" s="26"/>
      <c r="D561" s="26"/>
      <c r="E561" s="26"/>
      <c r="F561" s="26"/>
      <c r="G561" s="26"/>
      <c r="H561" s="26"/>
      <c r="I561" s="26">
        <f>ROUND(PRODUCT(C561:H561),2)</f>
        <v>0</v>
      </c>
      <c r="J561" s="15"/>
      <c r="K561" s="27"/>
    </row>
    <row r="562" spans="1:13" s="2" customFormat="1" ht="14.25" hidden="1" customHeight="1" x14ac:dyDescent="0.25">
      <c r="A562" s="41"/>
      <c r="B562" s="42"/>
      <c r="C562" s="26"/>
      <c r="D562" s="26"/>
      <c r="E562" s="26"/>
      <c r="F562" s="26"/>
      <c r="G562" s="26"/>
      <c r="H562" s="26"/>
      <c r="I562" s="26">
        <f>ROUND(PRODUCT(C562:H562),2)</f>
        <v>0</v>
      </c>
      <c r="J562" s="15"/>
      <c r="K562" s="27"/>
    </row>
    <row r="563" spans="1:13" ht="15" customHeight="1" x14ac:dyDescent="0.4">
      <c r="A563" s="41"/>
      <c r="B563" s="42"/>
      <c r="C563" s="26"/>
      <c r="D563" s="26"/>
      <c r="E563" s="26"/>
      <c r="F563" s="26">
        <v>18</v>
      </c>
      <c r="G563" s="26"/>
      <c r="H563" s="26"/>
      <c r="I563" s="26">
        <f>ROUND(PRODUCT(C563:H563),2)</f>
        <v>18</v>
      </c>
      <c r="K563" s="27"/>
    </row>
    <row r="564" spans="1:13" ht="15" customHeight="1" x14ac:dyDescent="0.4">
      <c r="A564" s="3"/>
      <c r="B564" s="3"/>
      <c r="C564" s="20"/>
      <c r="D564" s="20"/>
      <c r="E564" s="20"/>
      <c r="F564" s="20"/>
      <c r="G564" s="20"/>
      <c r="H564" s="19" t="str">
        <f>MASTER!$C81</f>
        <v>UN</v>
      </c>
      <c r="I564" s="19">
        <f>ROUND(SUM(I561:I563),2)</f>
        <v>18</v>
      </c>
      <c r="J564" s="16"/>
      <c r="K564" s="27"/>
      <c r="L564" s="13"/>
      <c r="M564" s="13"/>
    </row>
    <row r="565" spans="1:13" ht="15" customHeight="1" x14ac:dyDescent="0.4">
      <c r="A565" s="21"/>
      <c r="B565" s="21"/>
      <c r="C565" s="25"/>
      <c r="D565" s="25"/>
      <c r="E565" s="25"/>
      <c r="F565" s="25"/>
      <c r="G565" s="25"/>
      <c r="H565" s="25"/>
      <c r="I565" s="25"/>
      <c r="K565" s="27"/>
      <c r="L565" s="13"/>
      <c r="M565" s="13"/>
    </row>
    <row r="566" spans="1:13" ht="23.25" customHeight="1" x14ac:dyDescent="0.4">
      <c r="A566" s="4" t="str">
        <f>MASTER!$A82</f>
        <v>63-09-01-020 U H</v>
      </c>
      <c r="B566" s="43" t="str">
        <f>MASTER!$B82</f>
        <v>EMENDA PARA ELETROCALHA 150X100MM - FORNECIMENTO E INSTALA€ÇO</v>
      </c>
      <c r="C566" s="44"/>
      <c r="D566" s="44"/>
      <c r="E566" s="44"/>
      <c r="F566" s="44"/>
      <c r="G566" s="44"/>
      <c r="H566" s="44"/>
      <c r="I566" s="45"/>
      <c r="J566" s="15">
        <f>MASTER!$D82</f>
        <v>5</v>
      </c>
      <c r="K566" s="27" t="str">
        <f>IF(I571&lt;&gt;J566, "ERRO", "OK")</f>
        <v>OK</v>
      </c>
      <c r="L566" s="13"/>
      <c r="M566" s="13"/>
    </row>
    <row r="567" spans="1:13" s="2" customFormat="1" ht="14.25" customHeight="1" x14ac:dyDescent="0.25">
      <c r="A567" s="46" t="s">
        <v>1</v>
      </c>
      <c r="B567" s="46"/>
      <c r="C567" s="18" t="s">
        <v>4</v>
      </c>
      <c r="D567" s="18" t="s">
        <v>2</v>
      </c>
      <c r="E567" s="18" t="s">
        <v>3</v>
      </c>
      <c r="F567" s="18" t="s">
        <v>5</v>
      </c>
      <c r="G567" s="18" t="s">
        <v>11</v>
      </c>
      <c r="H567" s="18" t="s">
        <v>12</v>
      </c>
      <c r="I567" s="18" t="s">
        <v>0</v>
      </c>
      <c r="J567" s="15"/>
      <c r="K567" s="27"/>
      <c r="L567" s="13"/>
      <c r="M567" s="13"/>
    </row>
    <row r="568" spans="1:13" s="2" customFormat="1" ht="14.25" customHeight="1" x14ac:dyDescent="0.25">
      <c r="A568" s="41"/>
      <c r="B568" s="42"/>
      <c r="C568" s="26"/>
      <c r="D568" s="26"/>
      <c r="E568" s="26"/>
      <c r="F568" s="26">
        <v>5</v>
      </c>
      <c r="G568" s="26"/>
      <c r="H568" s="26"/>
      <c r="I568" s="26">
        <f>ROUND(PRODUCT(C568:H568),2)</f>
        <v>5</v>
      </c>
      <c r="J568" s="15"/>
      <c r="K568" s="27"/>
      <c r="L568" s="13"/>
      <c r="M568" s="13"/>
    </row>
    <row r="569" spans="1:13" s="2" customFormat="1" ht="14.25" hidden="1" customHeight="1" x14ac:dyDescent="0.4">
      <c r="A569" s="41"/>
      <c r="B569" s="42"/>
      <c r="C569" s="26"/>
      <c r="D569" s="26"/>
      <c r="E569" s="26"/>
      <c r="F569" s="26"/>
      <c r="G569" s="26"/>
      <c r="H569" s="26"/>
      <c r="I569" s="26">
        <f>ROUND(PRODUCT(C569:H569),2)</f>
        <v>0</v>
      </c>
      <c r="J569" s="15"/>
      <c r="K569" s="28"/>
      <c r="L569" s="13"/>
      <c r="M569" s="13"/>
    </row>
    <row r="570" spans="1:13" ht="15" hidden="1" customHeight="1" x14ac:dyDescent="0.4">
      <c r="A570" s="41"/>
      <c r="B570" s="42"/>
      <c r="C570" s="26"/>
      <c r="D570" s="26"/>
      <c r="E570" s="26"/>
      <c r="F570" s="26"/>
      <c r="G570" s="26"/>
      <c r="H570" s="26"/>
      <c r="I570" s="26">
        <f>ROUND(PRODUCT(C570:H570),2)</f>
        <v>0</v>
      </c>
      <c r="L570" s="13"/>
      <c r="M570" s="13"/>
    </row>
    <row r="571" spans="1:13" ht="15" customHeight="1" x14ac:dyDescent="0.4">
      <c r="A571" s="3"/>
      <c r="B571" s="3"/>
      <c r="C571" s="20"/>
      <c r="D571" s="20"/>
      <c r="E571" s="20"/>
      <c r="F571" s="20"/>
      <c r="G571" s="20"/>
      <c r="H571" s="19" t="str">
        <f>MASTER!$C82</f>
        <v>UN</v>
      </c>
      <c r="I571" s="19">
        <f>ROUND(SUM(I568:I570),2)</f>
        <v>5</v>
      </c>
      <c r="J571" s="16"/>
      <c r="K571" s="29"/>
      <c r="L571" s="13"/>
      <c r="M571" s="13"/>
    </row>
    <row r="572" spans="1:13" ht="15" customHeight="1" x14ac:dyDescent="0.4">
      <c r="A572" s="21"/>
      <c r="B572" s="21"/>
      <c r="C572" s="25"/>
      <c r="D572" s="25"/>
      <c r="E572" s="25"/>
      <c r="F572" s="25"/>
      <c r="G572" s="25"/>
      <c r="H572" s="25"/>
      <c r="I572" s="25"/>
    </row>
    <row r="573" spans="1:13" ht="27" customHeight="1" x14ac:dyDescent="0.4">
      <c r="A573" s="4" t="str">
        <f>MASTER!$A83</f>
        <v>64-23-74-007 O H</v>
      </c>
      <c r="B573" s="43" t="str">
        <f>MASTER!$B83</f>
        <v>FIXA€ÇO PARA ELETROCALHA 150X100MM,COMSUPORTE , TIRANTE E PARAFUSO - FORNECIMENTO E INSTALA€ÇO</v>
      </c>
      <c r="C573" s="44"/>
      <c r="D573" s="44"/>
      <c r="E573" s="44"/>
      <c r="F573" s="44"/>
      <c r="G573" s="44"/>
      <c r="H573" s="44"/>
      <c r="I573" s="45"/>
      <c r="J573" s="15">
        <f>MASTER!$D83</f>
        <v>18</v>
      </c>
      <c r="K573" s="27" t="str">
        <f>IF(I578&lt;&gt;J573, "ERRO", "OK")</f>
        <v>OK</v>
      </c>
    </row>
    <row r="574" spans="1:13" s="2" customFormat="1" ht="14.25" customHeight="1" x14ac:dyDescent="0.25">
      <c r="A574" s="46" t="s">
        <v>1</v>
      </c>
      <c r="B574" s="46"/>
      <c r="C574" s="18" t="s">
        <v>4</v>
      </c>
      <c r="D574" s="18" t="s">
        <v>2</v>
      </c>
      <c r="E574" s="18" t="s">
        <v>3</v>
      </c>
      <c r="F574" s="18" t="s">
        <v>5</v>
      </c>
      <c r="G574" s="18" t="s">
        <v>11</v>
      </c>
      <c r="H574" s="18" t="s">
        <v>12</v>
      </c>
      <c r="I574" s="18" t="s">
        <v>0</v>
      </c>
      <c r="J574" s="15"/>
      <c r="K574" s="27"/>
    </row>
    <row r="575" spans="1:13" s="2" customFormat="1" ht="14.25" customHeight="1" x14ac:dyDescent="0.25">
      <c r="A575" s="41"/>
      <c r="B575" s="42"/>
      <c r="C575" s="26"/>
      <c r="D575" s="26"/>
      <c r="E575" s="26"/>
      <c r="F575" s="26">
        <v>18</v>
      </c>
      <c r="G575" s="26"/>
      <c r="H575" s="26"/>
      <c r="I575" s="26">
        <f>ROUND(PRODUCT(C575:H575),2)</f>
        <v>18</v>
      </c>
      <c r="J575" s="15"/>
      <c r="K575" s="27"/>
    </row>
    <row r="576" spans="1:13" s="2" customFormat="1" ht="14.25" hidden="1" customHeight="1" x14ac:dyDescent="0.25">
      <c r="A576" s="41"/>
      <c r="B576" s="42"/>
      <c r="C576" s="26"/>
      <c r="D576" s="26"/>
      <c r="E576" s="26"/>
      <c r="F576" s="26"/>
      <c r="G576" s="26"/>
      <c r="H576" s="26"/>
      <c r="I576" s="26">
        <f>ROUND(PRODUCT(C576:H576),2)</f>
        <v>0</v>
      </c>
      <c r="J576" s="15"/>
      <c r="K576" s="27"/>
    </row>
    <row r="577" spans="1:13" ht="15" hidden="1" customHeight="1" x14ac:dyDescent="0.4">
      <c r="A577" s="41"/>
      <c r="B577" s="42"/>
      <c r="C577" s="26"/>
      <c r="D577" s="26"/>
      <c r="E577" s="26"/>
      <c r="F577" s="26"/>
      <c r="G577" s="26"/>
      <c r="H577" s="26"/>
      <c r="I577" s="26">
        <f>ROUND(PRODUCT(C577:H577),2)</f>
        <v>0</v>
      </c>
      <c r="K577" s="27"/>
    </row>
    <row r="578" spans="1:13" ht="15" customHeight="1" x14ac:dyDescent="0.4">
      <c r="A578" s="3"/>
      <c r="B578" s="3"/>
      <c r="C578" s="20"/>
      <c r="D578" s="20"/>
      <c r="E578" s="20"/>
      <c r="F578" s="20"/>
      <c r="G578" s="20"/>
      <c r="H578" s="19" t="str">
        <f>MASTER!$C83</f>
        <v>UN</v>
      </c>
      <c r="I578" s="19">
        <f>ROUND(SUM(I575:I577),2)</f>
        <v>18</v>
      </c>
      <c r="J578" s="16"/>
      <c r="K578" s="27"/>
      <c r="L578" s="13"/>
      <c r="M578" s="13"/>
    </row>
    <row r="579" spans="1:13" ht="15" customHeight="1" x14ac:dyDescent="0.4">
      <c r="A579" s="21"/>
      <c r="B579" s="21"/>
      <c r="C579" s="25"/>
      <c r="D579" s="25"/>
      <c r="E579" s="25"/>
      <c r="F579" s="25"/>
      <c r="G579" s="25"/>
      <c r="H579" s="25"/>
      <c r="I579" s="25"/>
      <c r="K579" s="27"/>
      <c r="L579" s="13"/>
      <c r="M579" s="13"/>
    </row>
    <row r="580" spans="1:13" ht="23.25" customHeight="1" x14ac:dyDescent="0.4">
      <c r="A580" s="4" t="str">
        <f>MASTER!$A84</f>
        <v>63-09-01-008 U H</v>
      </c>
      <c r="B580" s="43" t="str">
        <f>MASTER!$B84</f>
        <v>CURVA 90§ VERTICAL PARA ELETROCALHA 150X100MM - FORNECIMENTO E INSTALA€ÇO</v>
      </c>
      <c r="C580" s="44"/>
      <c r="D580" s="44"/>
      <c r="E580" s="44"/>
      <c r="F580" s="44"/>
      <c r="G580" s="44"/>
      <c r="H580" s="44"/>
      <c r="I580" s="45"/>
      <c r="J580" s="15">
        <f>MASTER!$D84</f>
        <v>1</v>
      </c>
      <c r="K580" s="27" t="str">
        <f>IF(I585&lt;&gt;J580, "ERRO", "OK")</f>
        <v>OK</v>
      </c>
      <c r="L580" s="13"/>
      <c r="M580" s="13"/>
    </row>
    <row r="581" spans="1:13" s="2" customFormat="1" ht="14.25" customHeight="1" x14ac:dyDescent="0.25">
      <c r="A581" s="46" t="s">
        <v>1</v>
      </c>
      <c r="B581" s="46"/>
      <c r="C581" s="18" t="s">
        <v>4</v>
      </c>
      <c r="D581" s="18" t="s">
        <v>2</v>
      </c>
      <c r="E581" s="18" t="s">
        <v>3</v>
      </c>
      <c r="F581" s="18" t="s">
        <v>5</v>
      </c>
      <c r="G581" s="18" t="s">
        <v>11</v>
      </c>
      <c r="H581" s="18" t="s">
        <v>12</v>
      </c>
      <c r="I581" s="18" t="s">
        <v>0</v>
      </c>
      <c r="J581" s="15"/>
      <c r="K581" s="27"/>
      <c r="L581" s="13"/>
      <c r="M581" s="13"/>
    </row>
    <row r="582" spans="1:13" s="2" customFormat="1" ht="14.25" customHeight="1" x14ac:dyDescent="0.25">
      <c r="A582" s="41"/>
      <c r="B582" s="42"/>
      <c r="C582" s="26"/>
      <c r="D582" s="26"/>
      <c r="E582" s="26"/>
      <c r="F582" s="26">
        <v>1</v>
      </c>
      <c r="G582" s="26"/>
      <c r="H582" s="26"/>
      <c r="I582" s="26">
        <f>ROUND(PRODUCT(C582:H582),2)</f>
        <v>1</v>
      </c>
      <c r="J582" s="15"/>
      <c r="K582" s="27"/>
      <c r="L582" s="13"/>
      <c r="M582" s="13"/>
    </row>
    <row r="583" spans="1:13" s="2" customFormat="1" ht="14.25" hidden="1" customHeight="1" x14ac:dyDescent="0.4">
      <c r="A583" s="41"/>
      <c r="B583" s="42"/>
      <c r="C583" s="26"/>
      <c r="D583" s="26"/>
      <c r="E583" s="26"/>
      <c r="F583" s="26"/>
      <c r="G583" s="26"/>
      <c r="H583" s="26"/>
      <c r="I583" s="26">
        <f>ROUND(PRODUCT(C583:H583),2)</f>
        <v>0</v>
      </c>
      <c r="J583" s="15"/>
      <c r="K583" s="28"/>
      <c r="L583" s="13"/>
      <c r="M583" s="13"/>
    </row>
    <row r="584" spans="1:13" ht="15" hidden="1" customHeight="1" x14ac:dyDescent="0.4">
      <c r="A584" s="41"/>
      <c r="B584" s="42"/>
      <c r="C584" s="26"/>
      <c r="D584" s="26"/>
      <c r="E584" s="26"/>
      <c r="F584" s="26"/>
      <c r="G584" s="26"/>
      <c r="H584" s="26"/>
      <c r="I584" s="26">
        <f>ROUND(PRODUCT(C584:H584),2)</f>
        <v>0</v>
      </c>
      <c r="L584" s="13"/>
      <c r="M584" s="13"/>
    </row>
    <row r="585" spans="1:13" ht="15" customHeight="1" x14ac:dyDescent="0.4">
      <c r="A585" s="3"/>
      <c r="B585" s="3"/>
      <c r="C585" s="20"/>
      <c r="D585" s="20"/>
      <c r="E585" s="20"/>
      <c r="F585" s="20"/>
      <c r="G585" s="20"/>
      <c r="H585" s="19" t="str">
        <f>MASTER!$C84</f>
        <v>UN</v>
      </c>
      <c r="I585" s="19">
        <f>ROUND(SUM(I582:I584),2)</f>
        <v>1</v>
      </c>
      <c r="J585" s="16"/>
      <c r="K585" s="29"/>
      <c r="L585" s="13"/>
      <c r="M585" s="13"/>
    </row>
    <row r="586" spans="1:13" ht="15" customHeight="1" x14ac:dyDescent="0.4">
      <c r="A586" s="21"/>
      <c r="B586" s="21"/>
      <c r="C586" s="25"/>
      <c r="D586" s="25"/>
      <c r="E586" s="25"/>
      <c r="F586" s="25"/>
      <c r="G586" s="25"/>
      <c r="H586" s="25"/>
      <c r="I586" s="25"/>
    </row>
    <row r="587" spans="1:13" ht="23.25" customHeight="1" x14ac:dyDescent="0.4">
      <c r="A587" s="4" t="str">
        <f>MASTER!$A85</f>
        <v>63-09-01-010 U H</v>
      </c>
      <c r="B587" s="43" t="str">
        <f>MASTER!$B85</f>
        <v>CURVA 90§ HORIZONTAL PARA ELETROCALHA 100X100MM - FORNECIMENTO E INSTALA€ÇO</v>
      </c>
      <c r="C587" s="44"/>
      <c r="D587" s="44"/>
      <c r="E587" s="44"/>
      <c r="F587" s="44"/>
      <c r="G587" s="44"/>
      <c r="H587" s="44"/>
      <c r="I587" s="45"/>
      <c r="J587" s="15">
        <f>MASTER!$D85</f>
        <v>1</v>
      </c>
      <c r="K587" s="27" t="str">
        <f>IF(I592&lt;&gt;J587, "ERRO", "OK")</f>
        <v>OK</v>
      </c>
    </row>
    <row r="588" spans="1:13" s="2" customFormat="1" ht="14.25" customHeight="1" x14ac:dyDescent="0.25">
      <c r="A588" s="46" t="s">
        <v>1</v>
      </c>
      <c r="B588" s="46"/>
      <c r="C588" s="18" t="s">
        <v>4</v>
      </c>
      <c r="D588" s="18" t="s">
        <v>2</v>
      </c>
      <c r="E588" s="18" t="s">
        <v>3</v>
      </c>
      <c r="F588" s="18" t="s">
        <v>5</v>
      </c>
      <c r="G588" s="18" t="s">
        <v>11</v>
      </c>
      <c r="H588" s="18" t="s">
        <v>12</v>
      </c>
      <c r="I588" s="18" t="s">
        <v>0</v>
      </c>
      <c r="J588" s="15"/>
      <c r="K588" s="27"/>
    </row>
    <row r="589" spans="1:13" s="2" customFormat="1" ht="14.25" customHeight="1" x14ac:dyDescent="0.25">
      <c r="A589" s="41"/>
      <c r="B589" s="42"/>
      <c r="C589" s="26"/>
      <c r="D589" s="26"/>
      <c r="E589" s="26"/>
      <c r="F589" s="26">
        <v>1</v>
      </c>
      <c r="G589" s="26"/>
      <c r="H589" s="26"/>
      <c r="I589" s="26">
        <f>ROUND(PRODUCT(C589:H589),2)</f>
        <v>1</v>
      </c>
      <c r="J589" s="15"/>
      <c r="K589" s="27"/>
    </row>
    <row r="590" spans="1:13" s="2" customFormat="1" ht="14.25" hidden="1" customHeight="1" x14ac:dyDescent="0.25">
      <c r="A590" s="41"/>
      <c r="B590" s="42"/>
      <c r="C590" s="26"/>
      <c r="D590" s="26"/>
      <c r="E590" s="26"/>
      <c r="F590" s="26"/>
      <c r="G590" s="26"/>
      <c r="H590" s="26"/>
      <c r="I590" s="26">
        <f>ROUND(PRODUCT(C590:H590),2)</f>
        <v>0</v>
      </c>
      <c r="J590" s="15"/>
      <c r="K590" s="27"/>
    </row>
    <row r="591" spans="1:13" ht="15" hidden="1" customHeight="1" x14ac:dyDescent="0.4">
      <c r="A591" s="41"/>
      <c r="B591" s="42"/>
      <c r="C591" s="26"/>
      <c r="D591" s="26"/>
      <c r="E591" s="26"/>
      <c r="F591" s="26"/>
      <c r="G591" s="26"/>
      <c r="H591" s="26"/>
      <c r="I591" s="26">
        <f>ROUND(PRODUCT(C591:H591),2)</f>
        <v>0</v>
      </c>
      <c r="K591" s="27"/>
    </row>
    <row r="592" spans="1:13" ht="15" customHeight="1" x14ac:dyDescent="0.4">
      <c r="A592" s="3"/>
      <c r="B592" s="3"/>
      <c r="C592" s="20"/>
      <c r="D592" s="20"/>
      <c r="E592" s="20"/>
      <c r="F592" s="20"/>
      <c r="G592" s="20"/>
      <c r="H592" s="19" t="str">
        <f>MASTER!$C85</f>
        <v>UN</v>
      </c>
      <c r="I592" s="19">
        <f>ROUND(SUM(I589:I591),2)</f>
        <v>1</v>
      </c>
      <c r="J592" s="16"/>
      <c r="K592" s="27"/>
      <c r="L592" s="13"/>
      <c r="M592" s="13"/>
    </row>
    <row r="593" spans="1:13" ht="15" customHeight="1" x14ac:dyDescent="0.4">
      <c r="A593" s="21"/>
      <c r="B593" s="21"/>
      <c r="C593" s="25"/>
      <c r="D593" s="25"/>
      <c r="E593" s="25"/>
      <c r="F593" s="25"/>
      <c r="G593" s="25"/>
      <c r="H593" s="25"/>
      <c r="I593" s="25"/>
      <c r="K593" s="27"/>
      <c r="L593" s="13"/>
      <c r="M593" s="13"/>
    </row>
    <row r="594" spans="1:13" ht="23.25" customHeight="1" x14ac:dyDescent="0.4">
      <c r="A594" s="4" t="str">
        <f>MASTER!$A86</f>
        <v>63-09-01-016 U H</v>
      </c>
      <c r="B594" s="43" t="str">
        <f>MASTER!$B86</f>
        <v>TÒ PARA ELETROCALHA 200X100MM - FORNECIMENTO E INSTALA€ÇO</v>
      </c>
      <c r="C594" s="44"/>
      <c r="D594" s="44"/>
      <c r="E594" s="44"/>
      <c r="F594" s="44"/>
      <c r="G594" s="44"/>
      <c r="H594" s="44"/>
      <c r="I594" s="45"/>
      <c r="J594" s="15">
        <f>MASTER!$D86</f>
        <v>1</v>
      </c>
      <c r="K594" s="27" t="str">
        <f>IF(I599&lt;&gt;J594, "ERRO", "OK")</f>
        <v>OK</v>
      </c>
      <c r="L594" s="13"/>
      <c r="M594" s="13"/>
    </row>
    <row r="595" spans="1:13" s="2" customFormat="1" ht="14.25" customHeight="1" x14ac:dyDescent="0.25">
      <c r="A595" s="46" t="s">
        <v>1</v>
      </c>
      <c r="B595" s="46"/>
      <c r="C595" s="18" t="s">
        <v>4</v>
      </c>
      <c r="D595" s="18" t="s">
        <v>2</v>
      </c>
      <c r="E595" s="18" t="s">
        <v>3</v>
      </c>
      <c r="F595" s="18" t="s">
        <v>5</v>
      </c>
      <c r="G595" s="18" t="s">
        <v>11</v>
      </c>
      <c r="H595" s="18" t="s">
        <v>12</v>
      </c>
      <c r="I595" s="18" t="s">
        <v>0</v>
      </c>
      <c r="J595" s="15"/>
      <c r="K595" s="27"/>
      <c r="L595" s="13"/>
      <c r="M595" s="13"/>
    </row>
    <row r="596" spans="1:13" s="2" customFormat="1" ht="14.25" customHeight="1" x14ac:dyDescent="0.25">
      <c r="A596" s="41"/>
      <c r="B596" s="42"/>
      <c r="C596" s="26"/>
      <c r="D596" s="26"/>
      <c r="E596" s="26"/>
      <c r="F596" s="26">
        <v>1</v>
      </c>
      <c r="G596" s="26"/>
      <c r="H596" s="26"/>
      <c r="I596" s="26">
        <f>ROUND(PRODUCT(C596:H596),2)</f>
        <v>1</v>
      </c>
      <c r="J596" s="15"/>
      <c r="K596" s="27"/>
      <c r="L596" s="13"/>
      <c r="M596" s="13"/>
    </row>
    <row r="597" spans="1:13" s="2" customFormat="1" ht="14.25" hidden="1" customHeight="1" x14ac:dyDescent="0.4">
      <c r="A597" s="41"/>
      <c r="B597" s="42"/>
      <c r="C597" s="26"/>
      <c r="D597" s="26"/>
      <c r="E597" s="26"/>
      <c r="F597" s="26"/>
      <c r="G597" s="26"/>
      <c r="H597" s="26"/>
      <c r="I597" s="26">
        <f>ROUND(PRODUCT(C597:H597),2)</f>
        <v>0</v>
      </c>
      <c r="J597" s="15"/>
      <c r="K597" s="28"/>
      <c r="L597" s="13"/>
      <c r="M597" s="13"/>
    </row>
    <row r="598" spans="1:13" ht="15" hidden="1" customHeight="1" x14ac:dyDescent="0.4">
      <c r="A598" s="41"/>
      <c r="B598" s="42"/>
      <c r="C598" s="26"/>
      <c r="D598" s="26"/>
      <c r="E598" s="26"/>
      <c r="F598" s="26"/>
      <c r="G598" s="26"/>
      <c r="H598" s="26"/>
      <c r="I598" s="26">
        <f>ROUND(PRODUCT(C598:H598),2)</f>
        <v>0</v>
      </c>
      <c r="L598" s="13"/>
      <c r="M598" s="13"/>
    </row>
    <row r="599" spans="1:13" ht="15" customHeight="1" x14ac:dyDescent="0.4">
      <c r="A599" s="3"/>
      <c r="B599" s="3"/>
      <c r="C599" s="20"/>
      <c r="D599" s="20"/>
      <c r="E599" s="20"/>
      <c r="F599" s="20"/>
      <c r="G599" s="20"/>
      <c r="H599" s="19" t="str">
        <f>MASTER!$C86</f>
        <v>UN</v>
      </c>
      <c r="I599" s="19">
        <f>ROUND(SUM(I596:I598),2)</f>
        <v>1</v>
      </c>
      <c r="J599" s="16"/>
      <c r="K599" s="29"/>
      <c r="L599" s="13"/>
      <c r="M599" s="13"/>
    </row>
    <row r="600" spans="1:13" ht="15" customHeight="1" x14ac:dyDescent="0.4">
      <c r="A600" s="21"/>
      <c r="B600" s="21"/>
      <c r="C600" s="25"/>
      <c r="D600" s="25"/>
      <c r="E600" s="25"/>
      <c r="F600" s="25"/>
      <c r="G600" s="25"/>
      <c r="H600" s="25"/>
      <c r="I600" s="25"/>
    </row>
    <row r="601" spans="1:13" ht="23.25" customHeight="1" x14ac:dyDescent="0.4">
      <c r="A601" s="4" t="str">
        <f>MASTER!$A87</f>
        <v>64-23-74-149 O H</v>
      </c>
      <c r="B601" s="43" t="str">
        <f>MASTER!$B87</f>
        <v>RACK DE PISO 19 36U P870 PRETO COM PORTA EM ACRÖLICO - FORNECIMENTO E INSTALA€ÇO</v>
      </c>
      <c r="C601" s="44"/>
      <c r="D601" s="44"/>
      <c r="E601" s="44"/>
      <c r="F601" s="44"/>
      <c r="G601" s="44"/>
      <c r="H601" s="44"/>
      <c r="I601" s="45"/>
      <c r="J601" s="15">
        <f>MASTER!$D87</f>
        <v>1</v>
      </c>
      <c r="K601" s="27" t="str">
        <f>IF(I606&lt;&gt;J601, "ERRO", "OK")</f>
        <v>OK</v>
      </c>
    </row>
    <row r="602" spans="1:13" s="2" customFormat="1" ht="14.25" customHeight="1" x14ac:dyDescent="0.25">
      <c r="A602" s="46" t="s">
        <v>1</v>
      </c>
      <c r="B602" s="46"/>
      <c r="C602" s="18" t="s">
        <v>4</v>
      </c>
      <c r="D602" s="18" t="s">
        <v>2</v>
      </c>
      <c r="E602" s="18" t="s">
        <v>3</v>
      </c>
      <c r="F602" s="18" t="s">
        <v>5</v>
      </c>
      <c r="G602" s="18" t="s">
        <v>11</v>
      </c>
      <c r="H602" s="18" t="s">
        <v>12</v>
      </c>
      <c r="I602" s="18" t="s">
        <v>0</v>
      </c>
      <c r="J602" s="15"/>
      <c r="K602" s="27"/>
    </row>
    <row r="603" spans="1:13" s="2" customFormat="1" ht="14.25" customHeight="1" x14ac:dyDescent="0.25">
      <c r="A603" s="41"/>
      <c r="B603" s="42"/>
      <c r="C603" s="26"/>
      <c r="D603" s="26"/>
      <c r="E603" s="26"/>
      <c r="F603" s="26">
        <v>1</v>
      </c>
      <c r="G603" s="26"/>
      <c r="H603" s="26"/>
      <c r="I603" s="26">
        <f>ROUND(PRODUCT(C603:H603),2)</f>
        <v>1</v>
      </c>
      <c r="J603" s="15"/>
      <c r="K603" s="27"/>
    </row>
    <row r="604" spans="1:13" s="2" customFormat="1" ht="14.25" hidden="1" customHeight="1" x14ac:dyDescent="0.25">
      <c r="A604" s="41"/>
      <c r="B604" s="42"/>
      <c r="C604" s="26"/>
      <c r="D604" s="26"/>
      <c r="E604" s="26"/>
      <c r="F604" s="26"/>
      <c r="G604" s="26"/>
      <c r="H604" s="26"/>
      <c r="I604" s="26">
        <f>ROUND(PRODUCT(C604:H604),2)</f>
        <v>0</v>
      </c>
      <c r="J604" s="15"/>
      <c r="K604" s="27"/>
    </row>
    <row r="605" spans="1:13" ht="15" hidden="1" customHeight="1" x14ac:dyDescent="0.4">
      <c r="A605" s="41"/>
      <c r="B605" s="42"/>
      <c r="C605" s="26"/>
      <c r="D605" s="26"/>
      <c r="E605" s="26"/>
      <c r="F605" s="26"/>
      <c r="G605" s="26"/>
      <c r="H605" s="26"/>
      <c r="I605" s="26">
        <f>ROUND(PRODUCT(C605:H605),2)</f>
        <v>0</v>
      </c>
      <c r="K605" s="27"/>
    </row>
    <row r="606" spans="1:13" ht="15" customHeight="1" x14ac:dyDescent="0.4">
      <c r="A606" s="3"/>
      <c r="B606" s="3"/>
      <c r="C606" s="20"/>
      <c r="D606" s="20"/>
      <c r="E606" s="20"/>
      <c r="F606" s="20"/>
      <c r="G606" s="20"/>
      <c r="H606" s="19" t="str">
        <f>MASTER!$C87</f>
        <v>UN</v>
      </c>
      <c r="I606" s="19">
        <f>ROUND(SUM(I603:I605),2)</f>
        <v>1</v>
      </c>
      <c r="J606" s="16"/>
      <c r="K606" s="27"/>
      <c r="L606" s="13"/>
      <c r="M606" s="13"/>
    </row>
    <row r="607" spans="1:13" ht="15" customHeight="1" x14ac:dyDescent="0.4">
      <c r="A607" s="21"/>
      <c r="B607" s="21"/>
      <c r="C607" s="25"/>
      <c r="D607" s="25"/>
      <c r="E607" s="25"/>
      <c r="F607" s="25"/>
      <c r="G607" s="25"/>
      <c r="H607" s="25"/>
      <c r="I607" s="25"/>
      <c r="K607" s="27"/>
      <c r="L607" s="13"/>
      <c r="M607" s="13"/>
    </row>
    <row r="608" spans="1:13" ht="23.25" customHeight="1" x14ac:dyDescent="0.4">
      <c r="A608" s="4" t="str">
        <f>MASTER!$A88</f>
        <v>66-23-68-082 U H</v>
      </c>
      <c r="B608" s="43" t="str">
        <f>MASTER!$B88</f>
        <v>KIT PORCA GAIOLA</v>
      </c>
      <c r="C608" s="44"/>
      <c r="D608" s="44"/>
      <c r="E608" s="44"/>
      <c r="F608" s="44"/>
      <c r="G608" s="44"/>
      <c r="H608" s="44"/>
      <c r="I608" s="45"/>
      <c r="J608" s="15">
        <f>MASTER!$D88</f>
        <v>10</v>
      </c>
      <c r="K608" s="27" t="str">
        <f>IF(I613&lt;&gt;J608, "ERRO", "OK")</f>
        <v>OK</v>
      </c>
      <c r="L608" s="13"/>
      <c r="M608" s="13"/>
    </row>
    <row r="609" spans="1:13" s="2" customFormat="1" ht="14.25" customHeight="1" x14ac:dyDescent="0.25">
      <c r="A609" s="46" t="s">
        <v>1</v>
      </c>
      <c r="B609" s="46"/>
      <c r="C609" s="18" t="s">
        <v>4</v>
      </c>
      <c r="D609" s="18" t="s">
        <v>2</v>
      </c>
      <c r="E609" s="18" t="s">
        <v>3</v>
      </c>
      <c r="F609" s="18" t="s">
        <v>5</v>
      </c>
      <c r="G609" s="18" t="s">
        <v>11</v>
      </c>
      <c r="H609" s="18" t="s">
        <v>12</v>
      </c>
      <c r="I609" s="18" t="s">
        <v>0</v>
      </c>
      <c r="J609" s="15"/>
      <c r="K609" s="27"/>
      <c r="L609" s="13"/>
      <c r="M609" s="13"/>
    </row>
    <row r="610" spans="1:13" s="2" customFormat="1" ht="14.25" customHeight="1" x14ac:dyDescent="0.25">
      <c r="A610" s="41"/>
      <c r="B610" s="42"/>
      <c r="C610" s="26"/>
      <c r="D610" s="26"/>
      <c r="E610" s="26"/>
      <c r="F610" s="26">
        <v>10</v>
      </c>
      <c r="G610" s="26"/>
      <c r="H610" s="26"/>
      <c r="I610" s="26">
        <f>ROUND(PRODUCT(C610:H610),2)</f>
        <v>10</v>
      </c>
      <c r="J610" s="15"/>
      <c r="K610" s="27"/>
      <c r="L610" s="13"/>
      <c r="M610" s="13"/>
    </row>
    <row r="611" spans="1:13" s="2" customFormat="1" ht="14.25" hidden="1" customHeight="1" x14ac:dyDescent="0.4">
      <c r="A611" s="41"/>
      <c r="B611" s="42"/>
      <c r="C611" s="26"/>
      <c r="D611" s="26"/>
      <c r="E611" s="26"/>
      <c r="F611" s="26"/>
      <c r="G611" s="26"/>
      <c r="H611" s="26"/>
      <c r="I611" s="26">
        <f>ROUND(PRODUCT(C611:H611),2)</f>
        <v>0</v>
      </c>
      <c r="J611" s="15"/>
      <c r="K611" s="28"/>
      <c r="L611" s="13"/>
      <c r="M611" s="13"/>
    </row>
    <row r="612" spans="1:13" ht="15" hidden="1" customHeight="1" x14ac:dyDescent="0.4">
      <c r="A612" s="41"/>
      <c r="B612" s="42"/>
      <c r="C612" s="26"/>
      <c r="D612" s="26"/>
      <c r="E612" s="26"/>
      <c r="F612" s="26"/>
      <c r="G612" s="26"/>
      <c r="H612" s="26"/>
      <c r="I612" s="26">
        <f>ROUND(PRODUCT(C612:H612),2)</f>
        <v>0</v>
      </c>
      <c r="L612" s="13"/>
      <c r="M612" s="13"/>
    </row>
    <row r="613" spans="1:13" ht="15" customHeight="1" x14ac:dyDescent="0.4">
      <c r="A613" s="3"/>
      <c r="B613" s="3"/>
      <c r="C613" s="20"/>
      <c r="D613" s="20"/>
      <c r="E613" s="20"/>
      <c r="F613" s="20"/>
      <c r="G613" s="20"/>
      <c r="H613" s="19" t="str">
        <f>MASTER!$C88</f>
        <v>CJ</v>
      </c>
      <c r="I613" s="19">
        <f>ROUND(SUM(I610:I612),2)</f>
        <v>10</v>
      </c>
      <c r="J613" s="16"/>
      <c r="K613" s="29"/>
      <c r="L613" s="13"/>
      <c r="M613" s="13"/>
    </row>
    <row r="614" spans="1:13" ht="15" customHeight="1" x14ac:dyDescent="0.4">
      <c r="A614" s="21"/>
      <c r="B614" s="21"/>
      <c r="C614" s="25"/>
      <c r="D614" s="25"/>
      <c r="E614" s="25"/>
      <c r="F614" s="25"/>
      <c r="G614" s="25"/>
      <c r="H614" s="25"/>
      <c r="I614" s="25"/>
    </row>
    <row r="615" spans="1:13" ht="23.25" customHeight="1" x14ac:dyDescent="0.4">
      <c r="A615" s="4" t="str">
        <f>MASTER!$A89</f>
        <v>64-23-74-086 O H</v>
      </c>
      <c r="B615" s="43" t="str">
        <f>MASTER!$B89</f>
        <v>BANDEJA FIXA PARA RACK 19 900MM - FORNECIMENTO E INSTALA€ÇO   ORSE/11417</v>
      </c>
      <c r="C615" s="44"/>
      <c r="D615" s="44"/>
      <c r="E615" s="44"/>
      <c r="F615" s="44"/>
      <c r="G615" s="44"/>
      <c r="H615" s="44"/>
      <c r="I615" s="45"/>
      <c r="J615" s="15">
        <f>MASTER!$D89</f>
        <v>2</v>
      </c>
      <c r="K615" s="27" t="str">
        <f>IF(I620&lt;&gt;J615, "ERRO", "OK")</f>
        <v>OK</v>
      </c>
    </row>
    <row r="616" spans="1:13" s="2" customFormat="1" ht="14.25" customHeight="1" x14ac:dyDescent="0.25">
      <c r="A616" s="46" t="s">
        <v>1</v>
      </c>
      <c r="B616" s="46"/>
      <c r="C616" s="18" t="s">
        <v>4</v>
      </c>
      <c r="D616" s="18" t="s">
        <v>2</v>
      </c>
      <c r="E616" s="18" t="s">
        <v>3</v>
      </c>
      <c r="F616" s="18" t="s">
        <v>5</v>
      </c>
      <c r="G616" s="18" t="s">
        <v>11</v>
      </c>
      <c r="H616" s="18" t="s">
        <v>12</v>
      </c>
      <c r="I616" s="18" t="s">
        <v>0</v>
      </c>
      <c r="J616" s="15"/>
      <c r="K616" s="27"/>
    </row>
    <row r="617" spans="1:13" s="2" customFormat="1" ht="14.25" customHeight="1" x14ac:dyDescent="0.25">
      <c r="A617" s="41"/>
      <c r="B617" s="42"/>
      <c r="C617" s="26"/>
      <c r="D617" s="26"/>
      <c r="E617" s="26"/>
      <c r="F617" s="26">
        <v>2</v>
      </c>
      <c r="G617" s="26"/>
      <c r="H617" s="26"/>
      <c r="I617" s="26">
        <f>ROUND(PRODUCT(C617:H617),2)</f>
        <v>2</v>
      </c>
      <c r="J617" s="15"/>
      <c r="K617" s="27"/>
    </row>
    <row r="618" spans="1:13" s="2" customFormat="1" ht="14.25" hidden="1" customHeight="1" x14ac:dyDescent="0.25">
      <c r="A618" s="41"/>
      <c r="B618" s="42"/>
      <c r="C618" s="26"/>
      <c r="D618" s="26"/>
      <c r="E618" s="26"/>
      <c r="F618" s="26"/>
      <c r="G618" s="26"/>
      <c r="H618" s="26"/>
      <c r="I618" s="26">
        <f>ROUND(PRODUCT(C618:H618),2)</f>
        <v>0</v>
      </c>
      <c r="J618" s="15"/>
      <c r="K618" s="27"/>
    </row>
    <row r="619" spans="1:13" ht="15" hidden="1" customHeight="1" x14ac:dyDescent="0.4">
      <c r="A619" s="41"/>
      <c r="B619" s="42"/>
      <c r="C619" s="26"/>
      <c r="D619" s="26"/>
      <c r="E619" s="26"/>
      <c r="F619" s="26"/>
      <c r="G619" s="26"/>
      <c r="H619" s="26"/>
      <c r="I619" s="26">
        <f>ROUND(PRODUCT(C619:H619),2)</f>
        <v>0</v>
      </c>
      <c r="K619" s="27"/>
    </row>
    <row r="620" spans="1:13" ht="15" customHeight="1" x14ac:dyDescent="0.4">
      <c r="A620" s="3"/>
      <c r="B620" s="3"/>
      <c r="C620" s="20"/>
      <c r="D620" s="20"/>
      <c r="E620" s="20"/>
      <c r="F620" s="20"/>
      <c r="G620" s="20"/>
      <c r="H620" s="19" t="str">
        <f>MASTER!$C89</f>
        <v>UN</v>
      </c>
      <c r="I620" s="19">
        <f>ROUND(SUM(I617:I619),2)</f>
        <v>2</v>
      </c>
      <c r="J620" s="16"/>
      <c r="K620" s="27"/>
      <c r="L620" s="13"/>
      <c r="M620" s="13"/>
    </row>
    <row r="621" spans="1:13" ht="15" customHeight="1" x14ac:dyDescent="0.4">
      <c r="A621" s="21"/>
      <c r="B621" s="21"/>
      <c r="C621" s="25"/>
      <c r="D621" s="25"/>
      <c r="E621" s="25"/>
      <c r="F621" s="25"/>
      <c r="G621" s="25"/>
      <c r="H621" s="25"/>
      <c r="I621" s="25"/>
      <c r="K621" s="27"/>
      <c r="L621" s="13"/>
      <c r="M621" s="13"/>
    </row>
    <row r="622" spans="1:13" ht="27" customHeight="1" x14ac:dyDescent="0.4">
      <c r="A622" s="4" t="str">
        <f>MASTER!$A90</f>
        <v>67-23-68-028 O H</v>
      </c>
      <c r="B622" s="43" t="str">
        <f>MASTER!$B90</f>
        <v>ORGANIZA€ÇO DE RACK 19US, COM 1 PATCH PANEL 24P CAT 6, 1 VOICE PANEL 50, 20 PARAFUSOS PORCA GAIOLA E 1 GUIA DE CABO -FORNECIMENTO E INSTALA€ÇO</v>
      </c>
      <c r="C622" s="44"/>
      <c r="D622" s="44"/>
      <c r="E622" s="44"/>
      <c r="F622" s="44"/>
      <c r="G622" s="44"/>
      <c r="H622" s="44"/>
      <c r="I622" s="45"/>
      <c r="J622" s="15">
        <f>MASTER!$D90</f>
        <v>1</v>
      </c>
      <c r="K622" s="27" t="str">
        <f>IF(I627&lt;&gt;J622, "ERRO", "OK")</f>
        <v>OK</v>
      </c>
      <c r="L622" s="13"/>
      <c r="M622" s="13"/>
    </row>
    <row r="623" spans="1:13" s="2" customFormat="1" ht="14.25" customHeight="1" x14ac:dyDescent="0.25">
      <c r="A623" s="46" t="s">
        <v>1</v>
      </c>
      <c r="B623" s="46"/>
      <c r="C623" s="18" t="s">
        <v>4</v>
      </c>
      <c r="D623" s="18" t="s">
        <v>2</v>
      </c>
      <c r="E623" s="18" t="s">
        <v>3</v>
      </c>
      <c r="F623" s="18" t="s">
        <v>5</v>
      </c>
      <c r="G623" s="18" t="s">
        <v>11</v>
      </c>
      <c r="H623" s="18" t="s">
        <v>12</v>
      </c>
      <c r="I623" s="18" t="s">
        <v>0</v>
      </c>
      <c r="J623" s="15"/>
      <c r="K623" s="27"/>
      <c r="L623" s="13"/>
      <c r="M623" s="13"/>
    </row>
    <row r="624" spans="1:13" s="2" customFormat="1" ht="14.25" customHeight="1" x14ac:dyDescent="0.25">
      <c r="A624" s="41"/>
      <c r="B624" s="42"/>
      <c r="C624" s="26"/>
      <c r="D624" s="26"/>
      <c r="E624" s="26"/>
      <c r="F624" s="26">
        <v>1</v>
      </c>
      <c r="G624" s="26"/>
      <c r="H624" s="26"/>
      <c r="I624" s="26">
        <f>ROUND(PRODUCT(C624:H624),2)</f>
        <v>1</v>
      </c>
      <c r="J624" s="15"/>
      <c r="K624" s="27"/>
      <c r="L624" s="13"/>
      <c r="M624" s="13"/>
    </row>
    <row r="625" spans="1:13" s="2" customFormat="1" ht="14.25" hidden="1" customHeight="1" x14ac:dyDescent="0.4">
      <c r="A625" s="41"/>
      <c r="B625" s="42"/>
      <c r="C625" s="26"/>
      <c r="D625" s="26"/>
      <c r="E625" s="26"/>
      <c r="F625" s="26"/>
      <c r="G625" s="26"/>
      <c r="H625" s="26"/>
      <c r="I625" s="26">
        <f>ROUND(PRODUCT(C625:H625),2)</f>
        <v>0</v>
      </c>
      <c r="J625" s="15"/>
      <c r="K625" s="28"/>
      <c r="L625" s="13"/>
      <c r="M625" s="13"/>
    </row>
    <row r="626" spans="1:13" ht="15" hidden="1" customHeight="1" x14ac:dyDescent="0.4">
      <c r="A626" s="41"/>
      <c r="B626" s="42"/>
      <c r="C626" s="26"/>
      <c r="D626" s="26"/>
      <c r="E626" s="26"/>
      <c r="F626" s="26"/>
      <c r="G626" s="26"/>
      <c r="H626" s="26"/>
      <c r="I626" s="26">
        <f>ROUND(PRODUCT(C626:H626),2)</f>
        <v>0</v>
      </c>
      <c r="L626" s="13"/>
      <c r="M626" s="13"/>
    </row>
    <row r="627" spans="1:13" ht="15" customHeight="1" x14ac:dyDescent="0.4">
      <c r="A627" s="3"/>
      <c r="B627" s="3"/>
      <c r="C627" s="20"/>
      <c r="D627" s="20"/>
      <c r="E627" s="20"/>
      <c r="F627" s="20"/>
      <c r="G627" s="20"/>
      <c r="H627" s="19" t="str">
        <f>MASTER!$C90</f>
        <v>UN</v>
      </c>
      <c r="I627" s="19">
        <f>ROUND(SUM(I624:I626),2)</f>
        <v>1</v>
      </c>
      <c r="J627" s="16"/>
      <c r="K627" s="29"/>
      <c r="L627" s="13"/>
      <c r="M627" s="13"/>
    </row>
    <row r="628" spans="1:13" ht="15" customHeight="1" x14ac:dyDescent="0.4">
      <c r="A628" s="21"/>
      <c r="B628" s="21"/>
      <c r="C628" s="25"/>
      <c r="D628" s="25"/>
      <c r="E628" s="25"/>
      <c r="F628" s="25"/>
      <c r="G628" s="25"/>
      <c r="H628" s="25"/>
      <c r="I628" s="25"/>
    </row>
    <row r="629" spans="1:13" ht="23.25" customHeight="1" x14ac:dyDescent="0.4">
      <c r="A629" s="4" t="str">
        <f>MASTER!$A91</f>
        <v>64-23-74-146 O H</v>
      </c>
      <c r="B629" s="43" t="str">
        <f>MASTER!$B91</f>
        <v>VOICE PANEL 30 POSI€åES FURUKAWA OU EQUIVALENTE TCNICO - FORNECIMENTO E ISNTALA€ÇO</v>
      </c>
      <c r="C629" s="44"/>
      <c r="D629" s="44"/>
      <c r="E629" s="44"/>
      <c r="F629" s="44"/>
      <c r="G629" s="44"/>
      <c r="H629" s="44"/>
      <c r="I629" s="45"/>
      <c r="J629" s="15">
        <f>MASTER!$D91</f>
        <v>1</v>
      </c>
      <c r="K629" s="27" t="str">
        <f>IF(I634&lt;&gt;J629, "ERRO", "OK")</f>
        <v>OK</v>
      </c>
    </row>
    <row r="630" spans="1:13" s="2" customFormat="1" ht="14.25" customHeight="1" x14ac:dyDescent="0.25">
      <c r="A630" s="46" t="s">
        <v>1</v>
      </c>
      <c r="B630" s="46"/>
      <c r="C630" s="18" t="s">
        <v>4</v>
      </c>
      <c r="D630" s="18" t="s">
        <v>2</v>
      </c>
      <c r="E630" s="18" t="s">
        <v>3</v>
      </c>
      <c r="F630" s="18" t="s">
        <v>5</v>
      </c>
      <c r="G630" s="18" t="s">
        <v>11</v>
      </c>
      <c r="H630" s="18" t="s">
        <v>12</v>
      </c>
      <c r="I630" s="18" t="s">
        <v>0</v>
      </c>
      <c r="J630" s="15"/>
      <c r="K630" s="27"/>
    </row>
    <row r="631" spans="1:13" s="2" customFormat="1" ht="14.25" hidden="1" customHeight="1" x14ac:dyDescent="0.25">
      <c r="A631" s="41"/>
      <c r="B631" s="42"/>
      <c r="C631" s="26"/>
      <c r="D631" s="26"/>
      <c r="E631" s="26"/>
      <c r="F631" s="26"/>
      <c r="G631" s="26"/>
      <c r="H631" s="26"/>
      <c r="I631" s="26">
        <f>ROUND(PRODUCT(C631:H631),2)</f>
        <v>0</v>
      </c>
      <c r="J631" s="15"/>
      <c r="K631" s="27"/>
    </row>
    <row r="632" spans="1:13" s="2" customFormat="1" ht="14.25" hidden="1" customHeight="1" x14ac:dyDescent="0.25">
      <c r="A632" s="41"/>
      <c r="B632" s="42"/>
      <c r="C632" s="26"/>
      <c r="D632" s="26"/>
      <c r="E632" s="26"/>
      <c r="F632" s="26"/>
      <c r="G632" s="26"/>
      <c r="H632" s="26"/>
      <c r="I632" s="26">
        <f>ROUND(PRODUCT(C632:H632),2)</f>
        <v>0</v>
      </c>
      <c r="J632" s="15"/>
      <c r="K632" s="27"/>
    </row>
    <row r="633" spans="1:13" ht="15" customHeight="1" x14ac:dyDescent="0.4">
      <c r="A633" s="41"/>
      <c r="B633" s="42"/>
      <c r="C633" s="26"/>
      <c r="D633" s="26"/>
      <c r="E633" s="26"/>
      <c r="F633" s="26">
        <v>1</v>
      </c>
      <c r="G633" s="26"/>
      <c r="H633" s="26"/>
      <c r="I633" s="26">
        <f>ROUND(PRODUCT(C633:H633),2)</f>
        <v>1</v>
      </c>
      <c r="K633" s="27"/>
    </row>
    <row r="634" spans="1:13" ht="15" customHeight="1" x14ac:dyDescent="0.4">
      <c r="A634" s="3"/>
      <c r="B634" s="3"/>
      <c r="C634" s="20"/>
      <c r="D634" s="20"/>
      <c r="E634" s="20"/>
      <c r="F634" s="20"/>
      <c r="G634" s="20"/>
      <c r="H634" s="19" t="str">
        <f>MASTER!$C91</f>
        <v>UN</v>
      </c>
      <c r="I634" s="19">
        <f>ROUND(SUM(I631:I633),2)</f>
        <v>1</v>
      </c>
      <c r="J634" s="16"/>
      <c r="K634" s="27"/>
      <c r="L634" s="13"/>
      <c r="M634" s="13"/>
    </row>
    <row r="635" spans="1:13" ht="15" customHeight="1" x14ac:dyDescent="0.4">
      <c r="A635" s="21"/>
      <c r="B635" s="21"/>
      <c r="C635" s="25"/>
      <c r="D635" s="25"/>
      <c r="E635" s="25"/>
      <c r="F635" s="25"/>
      <c r="G635" s="25"/>
      <c r="H635" s="25"/>
      <c r="I635" s="25"/>
      <c r="K635" s="27"/>
      <c r="L635" s="13"/>
      <c r="M635" s="13"/>
    </row>
    <row r="636" spans="1:13" ht="23.25" customHeight="1" x14ac:dyDescent="0.4">
      <c r="A636" s="4" t="str">
        <f>MASTER!$A92</f>
        <v>01-12-05-009 C H</v>
      </c>
      <c r="B636" s="43" t="str">
        <f>MASTER!$B92</f>
        <v>PATCH PANEL 24 PORTAS, CATEGORIA 6 - FORNECIMENTO E INSTALA€ÇO. AF_11/2019 CS: 98302</v>
      </c>
      <c r="C636" s="44"/>
      <c r="D636" s="44"/>
      <c r="E636" s="44"/>
      <c r="F636" s="44"/>
      <c r="G636" s="44"/>
      <c r="H636" s="44"/>
      <c r="I636" s="45"/>
      <c r="J636" s="15">
        <f>MASTER!$D92</f>
        <v>2</v>
      </c>
      <c r="K636" s="27" t="str">
        <f>IF(I641&lt;&gt;J636, "ERRO", "OK")</f>
        <v>OK</v>
      </c>
      <c r="L636" s="13"/>
      <c r="M636" s="13"/>
    </row>
    <row r="637" spans="1:13" s="2" customFormat="1" ht="14.25" customHeight="1" x14ac:dyDescent="0.25">
      <c r="A637" s="46" t="s">
        <v>1</v>
      </c>
      <c r="B637" s="46"/>
      <c r="C637" s="18" t="s">
        <v>4</v>
      </c>
      <c r="D637" s="18" t="s">
        <v>2</v>
      </c>
      <c r="E637" s="18" t="s">
        <v>3</v>
      </c>
      <c r="F637" s="18" t="s">
        <v>5</v>
      </c>
      <c r="G637" s="18" t="s">
        <v>11</v>
      </c>
      <c r="H637" s="18" t="s">
        <v>12</v>
      </c>
      <c r="I637" s="18" t="s">
        <v>0</v>
      </c>
      <c r="J637" s="15"/>
      <c r="K637" s="27"/>
      <c r="L637" s="13"/>
      <c r="M637" s="13"/>
    </row>
    <row r="638" spans="1:13" s="2" customFormat="1" ht="14.25" customHeight="1" x14ac:dyDescent="0.25">
      <c r="A638" s="41"/>
      <c r="B638" s="42"/>
      <c r="C638" s="26"/>
      <c r="D638" s="26"/>
      <c r="E638" s="26"/>
      <c r="F638" s="26">
        <v>2</v>
      </c>
      <c r="G638" s="26"/>
      <c r="H638" s="26"/>
      <c r="I638" s="26">
        <f>ROUND(PRODUCT(C638:H638),2)</f>
        <v>2</v>
      </c>
      <c r="J638" s="15"/>
      <c r="K638" s="27"/>
      <c r="L638" s="13"/>
      <c r="M638" s="13"/>
    </row>
    <row r="639" spans="1:13" s="2" customFormat="1" ht="14.25" hidden="1" customHeight="1" x14ac:dyDescent="0.4">
      <c r="A639" s="41"/>
      <c r="B639" s="42"/>
      <c r="C639" s="26"/>
      <c r="D639" s="26"/>
      <c r="E639" s="26"/>
      <c r="F639" s="26"/>
      <c r="G639" s="26"/>
      <c r="H639" s="26"/>
      <c r="I639" s="26">
        <f>ROUND(PRODUCT(C639:H639),2)</f>
        <v>0</v>
      </c>
      <c r="J639" s="15"/>
      <c r="K639" s="28"/>
      <c r="L639" s="13"/>
      <c r="M639" s="13"/>
    </row>
    <row r="640" spans="1:13" ht="15" hidden="1" customHeight="1" x14ac:dyDescent="0.4">
      <c r="A640" s="41"/>
      <c r="B640" s="42"/>
      <c r="C640" s="26"/>
      <c r="D640" s="26"/>
      <c r="E640" s="26"/>
      <c r="F640" s="26"/>
      <c r="G640" s="26"/>
      <c r="H640" s="26"/>
      <c r="I640" s="26">
        <f>ROUND(PRODUCT(C640:H640),2)</f>
        <v>0</v>
      </c>
      <c r="L640" s="13"/>
      <c r="M640" s="13"/>
    </row>
    <row r="641" spans="1:13" ht="15" customHeight="1" x14ac:dyDescent="0.4">
      <c r="A641" s="3"/>
      <c r="B641" s="3"/>
      <c r="C641" s="20"/>
      <c r="D641" s="20"/>
      <c r="E641" s="20"/>
      <c r="F641" s="20"/>
      <c r="G641" s="20"/>
      <c r="H641" s="19" t="str">
        <f>MASTER!$C92</f>
        <v>UN</v>
      </c>
      <c r="I641" s="19">
        <f>ROUND(SUM(I638:I640),2)</f>
        <v>2</v>
      </c>
      <c r="J641" s="16"/>
      <c r="K641" s="29"/>
      <c r="L641" s="13"/>
      <c r="M641" s="13"/>
    </row>
    <row r="642" spans="1:13" ht="15" customHeight="1" x14ac:dyDescent="0.4">
      <c r="A642" s="21"/>
      <c r="B642" s="21"/>
      <c r="C642" s="25"/>
      <c r="D642" s="25"/>
      <c r="E642" s="25"/>
      <c r="F642" s="25"/>
      <c r="G642" s="25"/>
      <c r="H642" s="25"/>
      <c r="I642" s="25"/>
    </row>
    <row r="643" spans="1:13" ht="23.25" customHeight="1" x14ac:dyDescent="0.4">
      <c r="A643" s="4" t="str">
        <f>MASTER!$A93</f>
        <v>64-23-74-046 O H</v>
      </c>
      <c r="B643" s="43" t="str">
        <f>MASTER!$B93</f>
        <v>FUSÇO DE FIBRA àTICA</v>
      </c>
      <c r="C643" s="44"/>
      <c r="D643" s="44"/>
      <c r="E643" s="44"/>
      <c r="F643" s="44"/>
      <c r="G643" s="44"/>
      <c r="H643" s="44"/>
      <c r="I643" s="45"/>
      <c r="J643" s="15">
        <f>MASTER!$D93</f>
        <v>28</v>
      </c>
      <c r="K643" s="27" t="str">
        <f>IF(I648&lt;&gt;J643, "ERRO", "OK")</f>
        <v>OK</v>
      </c>
    </row>
    <row r="644" spans="1:13" s="2" customFormat="1" ht="14.25" customHeight="1" x14ac:dyDescent="0.25">
      <c r="A644" s="46" t="s">
        <v>1</v>
      </c>
      <c r="B644" s="46"/>
      <c r="C644" s="18" t="s">
        <v>4</v>
      </c>
      <c r="D644" s="18" t="s">
        <v>2</v>
      </c>
      <c r="E644" s="18" t="s">
        <v>3</v>
      </c>
      <c r="F644" s="18" t="s">
        <v>5</v>
      </c>
      <c r="G644" s="18" t="s">
        <v>11</v>
      </c>
      <c r="H644" s="18" t="s">
        <v>12</v>
      </c>
      <c r="I644" s="18" t="s">
        <v>0</v>
      </c>
      <c r="J644" s="15"/>
      <c r="K644" s="27"/>
    </row>
    <row r="645" spans="1:13" s="2" customFormat="1" ht="14.25" customHeight="1" x14ac:dyDescent="0.25">
      <c r="A645" s="41"/>
      <c r="B645" s="42"/>
      <c r="C645" s="26"/>
      <c r="D645" s="26"/>
      <c r="E645" s="26"/>
      <c r="F645" s="26">
        <v>28</v>
      </c>
      <c r="G645" s="26"/>
      <c r="H645" s="26"/>
      <c r="I645" s="26">
        <f>ROUND(PRODUCT(C645:H645),2)</f>
        <v>28</v>
      </c>
      <c r="J645" s="15"/>
      <c r="K645" s="27"/>
    </row>
    <row r="646" spans="1:13" s="2" customFormat="1" ht="14.25" hidden="1" customHeight="1" x14ac:dyDescent="0.25">
      <c r="A646" s="41"/>
      <c r="B646" s="42"/>
      <c r="C646" s="26"/>
      <c r="D646" s="26"/>
      <c r="E646" s="26"/>
      <c r="F646" s="26"/>
      <c r="G646" s="26"/>
      <c r="H646" s="26"/>
      <c r="I646" s="26">
        <f>ROUND(PRODUCT(C646:H646),2)</f>
        <v>0</v>
      </c>
      <c r="J646" s="15"/>
      <c r="K646" s="27"/>
    </row>
    <row r="647" spans="1:13" ht="15" hidden="1" customHeight="1" x14ac:dyDescent="0.4">
      <c r="A647" s="41"/>
      <c r="B647" s="42"/>
      <c r="C647" s="26"/>
      <c r="D647" s="26"/>
      <c r="E647" s="26"/>
      <c r="F647" s="26"/>
      <c r="G647" s="26"/>
      <c r="H647" s="26"/>
      <c r="I647" s="26">
        <f>ROUND(PRODUCT(C647:H647),2)</f>
        <v>0</v>
      </c>
      <c r="K647" s="27"/>
    </row>
    <row r="648" spans="1:13" ht="15" customHeight="1" x14ac:dyDescent="0.4">
      <c r="A648" s="3"/>
      <c r="B648" s="3"/>
      <c r="C648" s="20"/>
      <c r="D648" s="20"/>
      <c r="E648" s="20"/>
      <c r="F648" s="20"/>
      <c r="G648" s="20"/>
      <c r="H648" s="19" t="str">
        <f>MASTER!$C93</f>
        <v>UN</v>
      </c>
      <c r="I648" s="19">
        <f>ROUND(SUM(I645:I647),2)</f>
        <v>28</v>
      </c>
      <c r="J648" s="16"/>
      <c r="K648" s="27"/>
      <c r="L648" s="13"/>
      <c r="M648" s="13"/>
    </row>
    <row r="649" spans="1:13" ht="15" customHeight="1" x14ac:dyDescent="0.4">
      <c r="A649" s="21"/>
      <c r="B649" s="21"/>
      <c r="C649" s="25"/>
      <c r="D649" s="25"/>
      <c r="E649" s="25"/>
      <c r="F649" s="25"/>
      <c r="G649" s="25"/>
      <c r="H649" s="25"/>
      <c r="I649" s="25"/>
      <c r="K649" s="27"/>
      <c r="L649" s="13"/>
      <c r="M649" s="13"/>
    </row>
    <row r="650" spans="1:13" ht="23.25" customHeight="1" x14ac:dyDescent="0.4">
      <c r="A650" s="4" t="str">
        <f>MASTER!$A94</f>
        <v>64-23-74-144 O H</v>
      </c>
      <c r="B650" s="43" t="str">
        <f>MASTER!$B94</f>
        <v>PATCH CORD AZUL 1,5M CAT 6 E 2 CONECTORES RJ45 MACHO CAT6</v>
      </c>
      <c r="C650" s="44"/>
      <c r="D650" s="44"/>
      <c r="E650" s="44"/>
      <c r="F650" s="44"/>
      <c r="G650" s="44"/>
      <c r="H650" s="44"/>
      <c r="I650" s="45"/>
      <c r="J650" s="15">
        <f>MASTER!$D94</f>
        <v>80</v>
      </c>
      <c r="K650" s="27" t="str">
        <f>IF(I655&lt;&gt;J650, "ERRO", "OK")</f>
        <v>OK</v>
      </c>
      <c r="L650" s="13"/>
      <c r="M650" s="13"/>
    </row>
    <row r="651" spans="1:13" s="2" customFormat="1" ht="14.25" customHeight="1" x14ac:dyDescent="0.25">
      <c r="A651" s="46" t="s">
        <v>1</v>
      </c>
      <c r="B651" s="46"/>
      <c r="C651" s="18" t="s">
        <v>4</v>
      </c>
      <c r="D651" s="18" t="s">
        <v>2</v>
      </c>
      <c r="E651" s="18" t="s">
        <v>3</v>
      </c>
      <c r="F651" s="18" t="s">
        <v>5</v>
      </c>
      <c r="G651" s="18" t="s">
        <v>11</v>
      </c>
      <c r="H651" s="18" t="s">
        <v>12</v>
      </c>
      <c r="I651" s="18" t="s">
        <v>0</v>
      </c>
      <c r="J651" s="15"/>
      <c r="K651" s="27"/>
      <c r="L651" s="13"/>
      <c r="M651" s="13"/>
    </row>
    <row r="652" spans="1:13" s="2" customFormat="1" ht="14.25" customHeight="1" x14ac:dyDescent="0.25">
      <c r="A652" s="41"/>
      <c r="B652" s="42"/>
      <c r="C652" s="26"/>
      <c r="D652" s="26"/>
      <c r="E652" s="26"/>
      <c r="F652" s="26">
        <v>80</v>
      </c>
      <c r="G652" s="26"/>
      <c r="H652" s="26"/>
      <c r="I652" s="26">
        <f>ROUND(PRODUCT(C652:H652),2)</f>
        <v>80</v>
      </c>
      <c r="J652" s="15"/>
      <c r="K652" s="27"/>
      <c r="L652" s="13"/>
      <c r="M652" s="13"/>
    </row>
    <row r="653" spans="1:13" s="2" customFormat="1" ht="14.25" hidden="1" customHeight="1" x14ac:dyDescent="0.4">
      <c r="A653" s="41"/>
      <c r="B653" s="42"/>
      <c r="C653" s="26"/>
      <c r="D653" s="26"/>
      <c r="E653" s="26"/>
      <c r="F653" s="26"/>
      <c r="G653" s="26"/>
      <c r="H653" s="26"/>
      <c r="I653" s="26">
        <f>ROUND(PRODUCT(C653:H653),2)</f>
        <v>0</v>
      </c>
      <c r="J653" s="15"/>
      <c r="K653" s="28"/>
      <c r="L653" s="13"/>
      <c r="M653" s="13"/>
    </row>
    <row r="654" spans="1:13" ht="15" hidden="1" customHeight="1" x14ac:dyDescent="0.4">
      <c r="A654" s="41"/>
      <c r="B654" s="42"/>
      <c r="C654" s="26"/>
      <c r="D654" s="26"/>
      <c r="E654" s="26"/>
      <c r="F654" s="26"/>
      <c r="G654" s="26"/>
      <c r="H654" s="26"/>
      <c r="I654" s="26">
        <f>ROUND(PRODUCT(C654:H654),2)</f>
        <v>0</v>
      </c>
      <c r="L654" s="13"/>
      <c r="M654" s="13"/>
    </row>
    <row r="655" spans="1:13" ht="15" customHeight="1" x14ac:dyDescent="0.4">
      <c r="A655" s="3"/>
      <c r="B655" s="3"/>
      <c r="C655" s="20"/>
      <c r="D655" s="20"/>
      <c r="E655" s="20"/>
      <c r="F655" s="20"/>
      <c r="G655" s="20"/>
      <c r="H655" s="19" t="str">
        <f>MASTER!$C94</f>
        <v>UN</v>
      </c>
      <c r="I655" s="19">
        <f>ROUND(SUM(I652:I654),2)</f>
        <v>80</v>
      </c>
      <c r="J655" s="16"/>
      <c r="K655" s="29"/>
      <c r="L655" s="13"/>
      <c r="M655" s="13"/>
    </row>
    <row r="656" spans="1:13" ht="15" customHeight="1" x14ac:dyDescent="0.4">
      <c r="A656" s="21"/>
      <c r="B656" s="21"/>
      <c r="C656" s="25"/>
      <c r="D656" s="25"/>
      <c r="E656" s="25"/>
      <c r="F656" s="25"/>
      <c r="G656" s="25"/>
      <c r="H656" s="25"/>
      <c r="I656" s="25"/>
    </row>
    <row r="657" spans="1:13" ht="23.25" customHeight="1" x14ac:dyDescent="0.4">
      <c r="A657" s="4" t="str">
        <f>MASTER!$A95</f>
        <v>64-23-74-018 O H</v>
      </c>
      <c r="B657" s="43" t="str">
        <f>MASTER!$B95</f>
        <v>CABO UTP 4 PARES, CAT.6 FORNECIMENTO EINSTALA€ÇO</v>
      </c>
      <c r="C657" s="44"/>
      <c r="D657" s="44"/>
      <c r="E657" s="44"/>
      <c r="F657" s="44"/>
      <c r="G657" s="44"/>
      <c r="H657" s="44"/>
      <c r="I657" s="45"/>
      <c r="J657" s="15">
        <f>MASTER!$D95</f>
        <v>550</v>
      </c>
      <c r="K657" s="27" t="str">
        <f>IF(I662&lt;&gt;J657, "ERRO", "OK")</f>
        <v>OK</v>
      </c>
    </row>
    <row r="658" spans="1:13" s="2" customFormat="1" ht="14.25" customHeight="1" x14ac:dyDescent="0.25">
      <c r="A658" s="46" t="s">
        <v>1</v>
      </c>
      <c r="B658" s="46"/>
      <c r="C658" s="18" t="s">
        <v>4</v>
      </c>
      <c r="D658" s="18" t="s">
        <v>2</v>
      </c>
      <c r="E658" s="18" t="s">
        <v>3</v>
      </c>
      <c r="F658" s="18" t="s">
        <v>5</v>
      </c>
      <c r="G658" s="18" t="s">
        <v>11</v>
      </c>
      <c r="H658" s="18" t="s">
        <v>12</v>
      </c>
      <c r="I658" s="18" t="s">
        <v>0</v>
      </c>
      <c r="J658" s="15"/>
      <c r="K658" s="27"/>
    </row>
    <row r="659" spans="1:13" s="2" customFormat="1" ht="14.25" customHeight="1" x14ac:dyDescent="0.25">
      <c r="A659" s="41"/>
      <c r="B659" s="42"/>
      <c r="C659" s="26"/>
      <c r="D659" s="26"/>
      <c r="E659" s="26"/>
      <c r="F659" s="26">
        <v>550</v>
      </c>
      <c r="G659" s="26"/>
      <c r="H659" s="26"/>
      <c r="I659" s="26">
        <f>ROUND(PRODUCT(C659:H659),2)</f>
        <v>550</v>
      </c>
      <c r="J659" s="15"/>
      <c r="K659" s="27"/>
    </row>
    <row r="660" spans="1:13" s="2" customFormat="1" ht="14.25" hidden="1" customHeight="1" x14ac:dyDescent="0.25">
      <c r="A660" s="41"/>
      <c r="B660" s="42"/>
      <c r="C660" s="26"/>
      <c r="D660" s="26"/>
      <c r="E660" s="26"/>
      <c r="F660" s="26"/>
      <c r="G660" s="26"/>
      <c r="H660" s="26"/>
      <c r="I660" s="26">
        <f>ROUND(PRODUCT(C660:H660),2)</f>
        <v>0</v>
      </c>
      <c r="J660" s="15"/>
      <c r="K660" s="27"/>
    </row>
    <row r="661" spans="1:13" ht="15" hidden="1" customHeight="1" x14ac:dyDescent="0.4">
      <c r="A661" s="41"/>
      <c r="B661" s="42"/>
      <c r="C661" s="26"/>
      <c r="D661" s="26"/>
      <c r="E661" s="26"/>
      <c r="F661" s="26"/>
      <c r="G661" s="26"/>
      <c r="H661" s="26"/>
      <c r="I661" s="26">
        <f>ROUND(PRODUCT(C661:H661),2)</f>
        <v>0</v>
      </c>
      <c r="K661" s="27"/>
    </row>
    <row r="662" spans="1:13" ht="15" customHeight="1" x14ac:dyDescent="0.4">
      <c r="A662" s="3"/>
      <c r="B662" s="3"/>
      <c r="C662" s="20"/>
      <c r="D662" s="20"/>
      <c r="E662" s="20"/>
      <c r="F662" s="20"/>
      <c r="G662" s="20"/>
      <c r="H662" s="19" t="str">
        <f>MASTER!$C95</f>
        <v>M</v>
      </c>
      <c r="I662" s="19">
        <f>ROUND(SUM(I659:I661),2)</f>
        <v>550</v>
      </c>
      <c r="J662" s="16"/>
      <c r="K662" s="27"/>
      <c r="L662" s="13"/>
      <c r="M662" s="13"/>
    </row>
    <row r="663" spans="1:13" ht="15" customHeight="1" x14ac:dyDescent="0.4">
      <c r="A663" s="21"/>
      <c r="B663" s="21"/>
      <c r="C663" s="25"/>
      <c r="D663" s="25"/>
      <c r="E663" s="25"/>
      <c r="F663" s="25"/>
      <c r="G663" s="25"/>
      <c r="H663" s="25"/>
      <c r="I663" s="25"/>
      <c r="K663" s="27"/>
      <c r="L663" s="13"/>
      <c r="M663" s="13"/>
    </row>
    <row r="664" spans="1:13" ht="27" customHeight="1" x14ac:dyDescent="0.4">
      <c r="A664" s="4" t="str">
        <f>MASTER!$A96</f>
        <v>66-23-68-121 U H</v>
      </c>
      <c r="B664" s="43" t="str">
        <f>MASTER!$B96</f>
        <v>CERTIFICA€ÇO DE FIBRA àPTICA ATRAVS DEOTDR, SENTIDOS DE A PARA B E DE B PARA A, EM CABO COM 4 FIBRAS</v>
      </c>
      <c r="C664" s="44"/>
      <c r="D664" s="44"/>
      <c r="E664" s="44"/>
      <c r="F664" s="44"/>
      <c r="G664" s="44"/>
      <c r="H664" s="44"/>
      <c r="I664" s="45"/>
      <c r="J664" s="15">
        <f>MASTER!$D96</f>
        <v>8</v>
      </c>
      <c r="K664" s="27" t="str">
        <f>IF(I669&lt;&gt;J664, "ERRO", "OK")</f>
        <v>OK</v>
      </c>
      <c r="L664" s="13"/>
      <c r="M664" s="13"/>
    </row>
    <row r="665" spans="1:13" s="2" customFormat="1" ht="14.25" customHeight="1" x14ac:dyDescent="0.25">
      <c r="A665" s="46" t="s">
        <v>1</v>
      </c>
      <c r="B665" s="46"/>
      <c r="C665" s="18" t="s">
        <v>4</v>
      </c>
      <c r="D665" s="18" t="s">
        <v>2</v>
      </c>
      <c r="E665" s="18" t="s">
        <v>3</v>
      </c>
      <c r="F665" s="18" t="s">
        <v>5</v>
      </c>
      <c r="G665" s="18" t="s">
        <v>11</v>
      </c>
      <c r="H665" s="18" t="s">
        <v>12</v>
      </c>
      <c r="I665" s="18" t="s">
        <v>0</v>
      </c>
      <c r="J665" s="15"/>
      <c r="K665" s="27"/>
      <c r="L665" s="13"/>
      <c r="M665" s="13"/>
    </row>
    <row r="666" spans="1:13" s="2" customFormat="1" ht="14.25" customHeight="1" x14ac:dyDescent="0.25">
      <c r="A666" s="41"/>
      <c r="B666" s="42"/>
      <c r="C666" s="26"/>
      <c r="D666" s="26"/>
      <c r="E666" s="26"/>
      <c r="F666" s="26">
        <v>8</v>
      </c>
      <c r="G666" s="26"/>
      <c r="H666" s="26"/>
      <c r="I666" s="26">
        <f>ROUND(PRODUCT(C666:H666),2)</f>
        <v>8</v>
      </c>
      <c r="J666" s="15"/>
      <c r="K666" s="27"/>
      <c r="L666" s="13"/>
      <c r="M666" s="13"/>
    </row>
    <row r="667" spans="1:13" s="2" customFormat="1" ht="14.25" hidden="1" customHeight="1" x14ac:dyDescent="0.4">
      <c r="A667" s="41"/>
      <c r="B667" s="42"/>
      <c r="C667" s="26"/>
      <c r="D667" s="26"/>
      <c r="E667" s="26"/>
      <c r="F667" s="26"/>
      <c r="G667" s="26"/>
      <c r="H667" s="26"/>
      <c r="I667" s="26">
        <f>ROUND(PRODUCT(C667:H667),2)</f>
        <v>0</v>
      </c>
      <c r="J667" s="15"/>
      <c r="K667" s="28"/>
      <c r="L667" s="13"/>
      <c r="M667" s="13"/>
    </row>
    <row r="668" spans="1:13" ht="15" hidden="1" customHeight="1" x14ac:dyDescent="0.4">
      <c r="A668" s="41"/>
      <c r="B668" s="42"/>
      <c r="C668" s="26"/>
      <c r="D668" s="26"/>
      <c r="E668" s="26"/>
      <c r="F668" s="26"/>
      <c r="G668" s="26"/>
      <c r="H668" s="26"/>
      <c r="I668" s="26">
        <f>ROUND(PRODUCT(C668:H668),2)</f>
        <v>0</v>
      </c>
      <c r="L668" s="13"/>
      <c r="M668" s="13"/>
    </row>
    <row r="669" spans="1:13" ht="15" customHeight="1" x14ac:dyDescent="0.4">
      <c r="A669" s="3"/>
      <c r="B669" s="3"/>
      <c r="C669" s="20"/>
      <c r="D669" s="20"/>
      <c r="E669" s="20"/>
      <c r="F669" s="20"/>
      <c r="G669" s="20"/>
      <c r="H669" s="19" t="str">
        <f>MASTER!$C96</f>
        <v>UN</v>
      </c>
      <c r="I669" s="19">
        <f>ROUND(SUM(I666:I668),2)</f>
        <v>8</v>
      </c>
      <c r="J669" s="16"/>
      <c r="L669" s="13"/>
      <c r="M669" s="13"/>
    </row>
    <row r="670" spans="1:13" ht="15" customHeight="1" x14ac:dyDescent="0.4">
      <c r="A670" s="22"/>
      <c r="B670" s="22"/>
      <c r="C670" s="23"/>
      <c r="D670" s="23"/>
      <c r="E670" s="23"/>
      <c r="F670" s="23"/>
      <c r="G670" s="23"/>
      <c r="H670" s="24"/>
      <c r="I670" s="24"/>
      <c r="J670" s="16"/>
      <c r="L670" s="13"/>
      <c r="M670" s="13"/>
    </row>
    <row r="671" spans="1:13" ht="27" customHeight="1" x14ac:dyDescent="0.4">
      <c r="A671" s="4" t="str">
        <f>MASTER!$A97</f>
        <v>01-11-01-041 C H</v>
      </c>
      <c r="B671" s="43" t="str">
        <f>MASTER!$B97</f>
        <v>ELETRODUTO RÖGIDO ROSCµVEL, PVC, DN 110MM (4), PARA REDE ENTERRADA DE DISTRIBUI€ÇO DE ENERGIA ELTRICA - FORNECIMENTO E INSTALA€ÇO. AF_12/2021 CS: 93012</v>
      </c>
      <c r="C671" s="44"/>
      <c r="D671" s="44"/>
      <c r="E671" s="44"/>
      <c r="F671" s="44"/>
      <c r="G671" s="44"/>
      <c r="H671" s="44"/>
      <c r="I671" s="45"/>
      <c r="J671" s="15">
        <f>MASTER!$D97</f>
        <v>90</v>
      </c>
      <c r="K671" s="27" t="str">
        <f>IF(I676&lt;&gt;J671, "ERRO", "OK")</f>
        <v>OK</v>
      </c>
    </row>
    <row r="672" spans="1:13" s="2" customFormat="1" ht="14.25" customHeight="1" x14ac:dyDescent="0.25">
      <c r="A672" s="46" t="s">
        <v>1</v>
      </c>
      <c r="B672" s="46"/>
      <c r="C672" s="18" t="s">
        <v>4</v>
      </c>
      <c r="D672" s="18" t="s">
        <v>2</v>
      </c>
      <c r="E672" s="18" t="s">
        <v>3</v>
      </c>
      <c r="F672" s="18" t="s">
        <v>5</v>
      </c>
      <c r="G672" s="18" t="s">
        <v>11</v>
      </c>
      <c r="H672" s="18" t="s">
        <v>12</v>
      </c>
      <c r="I672" s="18" t="s">
        <v>0</v>
      </c>
      <c r="J672" s="15"/>
      <c r="K672" s="27"/>
    </row>
    <row r="673" spans="1:13" s="2" customFormat="1" ht="14.25" hidden="1" customHeight="1" x14ac:dyDescent="0.25">
      <c r="A673" s="41"/>
      <c r="B673" s="42"/>
      <c r="C673" s="26"/>
      <c r="D673" s="26"/>
      <c r="E673" s="26"/>
      <c r="F673" s="26"/>
      <c r="G673" s="26"/>
      <c r="H673" s="26"/>
      <c r="I673" s="26">
        <f>ROUND(PRODUCT(C673:H673),2)</f>
        <v>0</v>
      </c>
      <c r="J673" s="15"/>
      <c r="K673" s="27"/>
    </row>
    <row r="674" spans="1:13" s="2" customFormat="1" ht="14.25" hidden="1" customHeight="1" x14ac:dyDescent="0.25">
      <c r="A674" s="41"/>
      <c r="B674" s="42"/>
      <c r="C674" s="26"/>
      <c r="D674" s="26"/>
      <c r="E674" s="26"/>
      <c r="F674" s="26"/>
      <c r="G674" s="26"/>
      <c r="H674" s="26"/>
      <c r="I674" s="26">
        <f>ROUND(PRODUCT(C674:H674),2)</f>
        <v>0</v>
      </c>
      <c r="J674" s="15"/>
      <c r="K674" s="27"/>
    </row>
    <row r="675" spans="1:13" ht="15" customHeight="1" x14ac:dyDescent="0.4">
      <c r="A675" s="41"/>
      <c r="B675" s="42"/>
      <c r="C675" s="26"/>
      <c r="D675" s="26"/>
      <c r="E675" s="26"/>
      <c r="F675" s="26">
        <v>90</v>
      </c>
      <c r="G675" s="26"/>
      <c r="H675" s="26"/>
      <c r="I675" s="26">
        <f>ROUND(PRODUCT(C675:H675),2)</f>
        <v>90</v>
      </c>
      <c r="K675" s="27"/>
    </row>
    <row r="676" spans="1:13" ht="15" customHeight="1" x14ac:dyDescent="0.4">
      <c r="A676" s="3"/>
      <c r="B676" s="3"/>
      <c r="C676" s="20"/>
      <c r="D676" s="20"/>
      <c r="E676" s="20"/>
      <c r="F676" s="20"/>
      <c r="G676" s="20"/>
      <c r="H676" s="19" t="str">
        <f>MASTER!$C97</f>
        <v>M</v>
      </c>
      <c r="I676" s="19">
        <f>ROUND(SUM(I673:I675),2)</f>
        <v>90</v>
      </c>
      <c r="J676" s="16"/>
      <c r="K676" s="27"/>
      <c r="L676" s="13"/>
      <c r="M676" s="13"/>
    </row>
    <row r="677" spans="1:13" ht="15" customHeight="1" x14ac:dyDescent="0.4">
      <c r="A677" s="21"/>
      <c r="B677" s="21"/>
      <c r="C677" s="25"/>
      <c r="D677" s="25"/>
      <c r="E677" s="25"/>
      <c r="F677" s="25"/>
      <c r="G677" s="25"/>
      <c r="H677" s="25"/>
      <c r="I677" s="25"/>
      <c r="K677" s="27"/>
      <c r="L677" s="13"/>
      <c r="M677" s="13"/>
    </row>
    <row r="678" spans="1:13" ht="23.25" customHeight="1" x14ac:dyDescent="0.4">
      <c r="A678" s="4" t="str">
        <f>MASTER!$A98</f>
        <v>64-23-74-164 O H</v>
      </c>
      <c r="B678" s="43" t="str">
        <f>MASTER!$B98</f>
        <v>PARAFUSO CABE€A LENTILHA AUTO TRAV 1/4 X1/2</v>
      </c>
      <c r="C678" s="44"/>
      <c r="D678" s="44"/>
      <c r="E678" s="44"/>
      <c r="F678" s="44"/>
      <c r="G678" s="44"/>
      <c r="H678" s="44"/>
      <c r="I678" s="45"/>
      <c r="J678" s="15">
        <f>MASTER!$D98</f>
        <v>1500</v>
      </c>
      <c r="K678" s="27" t="str">
        <f>IF(I683&lt;&gt;J678, "ERRO", "OK")</f>
        <v>OK</v>
      </c>
      <c r="L678" s="13"/>
      <c r="M678" s="13"/>
    </row>
    <row r="679" spans="1:13" s="2" customFormat="1" ht="14.25" customHeight="1" x14ac:dyDescent="0.25">
      <c r="A679" s="46" t="s">
        <v>1</v>
      </c>
      <c r="B679" s="46"/>
      <c r="C679" s="18" t="s">
        <v>4</v>
      </c>
      <c r="D679" s="18" t="s">
        <v>2</v>
      </c>
      <c r="E679" s="18" t="s">
        <v>3</v>
      </c>
      <c r="F679" s="18" t="s">
        <v>5</v>
      </c>
      <c r="G679" s="18" t="s">
        <v>11</v>
      </c>
      <c r="H679" s="18" t="s">
        <v>12</v>
      </c>
      <c r="I679" s="18" t="s">
        <v>0</v>
      </c>
      <c r="J679" s="15"/>
      <c r="K679" s="27"/>
      <c r="L679" s="13"/>
      <c r="M679" s="13"/>
    </row>
    <row r="680" spans="1:13" s="2" customFormat="1" ht="14.25" customHeight="1" x14ac:dyDescent="0.25">
      <c r="A680" s="41"/>
      <c r="B680" s="42"/>
      <c r="C680" s="26"/>
      <c r="D680" s="26"/>
      <c r="E680" s="26"/>
      <c r="F680" s="26">
        <v>1500</v>
      </c>
      <c r="G680" s="26"/>
      <c r="H680" s="26"/>
      <c r="I680" s="26">
        <f>ROUND(PRODUCT(C680:H680),2)</f>
        <v>1500</v>
      </c>
      <c r="J680" s="15"/>
      <c r="K680" s="27"/>
      <c r="L680" s="13"/>
      <c r="M680" s="13"/>
    </row>
    <row r="681" spans="1:13" s="2" customFormat="1" ht="14.25" hidden="1" customHeight="1" x14ac:dyDescent="0.4">
      <c r="A681" s="41"/>
      <c r="B681" s="42"/>
      <c r="C681" s="26"/>
      <c r="D681" s="26"/>
      <c r="E681" s="26"/>
      <c r="F681" s="26"/>
      <c r="G681" s="26"/>
      <c r="H681" s="26"/>
      <c r="I681" s="26">
        <f>ROUND(PRODUCT(C681:H681),2)</f>
        <v>0</v>
      </c>
      <c r="J681" s="15"/>
      <c r="K681" s="28"/>
      <c r="L681" s="13"/>
      <c r="M681" s="13"/>
    </row>
    <row r="682" spans="1:13" ht="15" hidden="1" customHeight="1" x14ac:dyDescent="0.4">
      <c r="A682" s="41"/>
      <c r="B682" s="42"/>
      <c r="C682" s="26"/>
      <c r="D682" s="26"/>
      <c r="E682" s="26"/>
      <c r="F682" s="26"/>
      <c r="G682" s="26"/>
      <c r="H682" s="26"/>
      <c r="I682" s="26">
        <f>ROUND(PRODUCT(C682:H682),2)</f>
        <v>0</v>
      </c>
      <c r="L682" s="13"/>
      <c r="M682" s="13"/>
    </row>
    <row r="683" spans="1:13" ht="15" customHeight="1" x14ac:dyDescent="0.4">
      <c r="A683" s="3"/>
      <c r="B683" s="3"/>
      <c r="C683" s="20"/>
      <c r="D683" s="20"/>
      <c r="E683" s="20"/>
      <c r="F683" s="20"/>
      <c r="G683" s="20"/>
      <c r="H683" s="19" t="str">
        <f>MASTER!$C98</f>
        <v>UN</v>
      </c>
      <c r="I683" s="19">
        <f>ROUND(SUM(I680:I682),2)</f>
        <v>1500</v>
      </c>
      <c r="J683" s="16"/>
      <c r="K683" s="29"/>
      <c r="L683" s="13"/>
      <c r="M683" s="13"/>
    </row>
    <row r="684" spans="1:13" ht="15" customHeight="1" x14ac:dyDescent="0.4">
      <c r="A684" s="21"/>
      <c r="B684" s="21"/>
      <c r="C684" s="25"/>
      <c r="D684" s="25"/>
      <c r="E684" s="25"/>
      <c r="F684" s="25"/>
      <c r="G684" s="25"/>
      <c r="H684" s="25"/>
      <c r="I684" s="25"/>
    </row>
    <row r="685" spans="1:13" ht="23.25" customHeight="1" x14ac:dyDescent="0.4">
      <c r="A685" s="4" t="str">
        <f>MASTER!$A99</f>
        <v>62-23-65-115 U H</v>
      </c>
      <c r="B685" s="43" t="str">
        <f>MASTER!$B99</f>
        <v>BUCHA COM ARRUELA ALUMINIO 1. 1/2, PARAELETRODUTO - FORNECIMENTO E INSTALA€ÇO</v>
      </c>
      <c r="C685" s="44"/>
      <c r="D685" s="44"/>
      <c r="E685" s="44"/>
      <c r="F685" s="44"/>
      <c r="G685" s="44"/>
      <c r="H685" s="44"/>
      <c r="I685" s="45"/>
      <c r="J685" s="15">
        <f>MASTER!$D99</f>
        <v>200</v>
      </c>
      <c r="K685" s="27" t="str">
        <f>IF(I690&lt;&gt;J685, "ERRO", "OK")</f>
        <v>OK</v>
      </c>
    </row>
    <row r="686" spans="1:13" s="2" customFormat="1" ht="14.25" customHeight="1" x14ac:dyDescent="0.25">
      <c r="A686" s="46" t="s">
        <v>1</v>
      </c>
      <c r="B686" s="46"/>
      <c r="C686" s="18" t="s">
        <v>4</v>
      </c>
      <c r="D686" s="18" t="s">
        <v>2</v>
      </c>
      <c r="E686" s="18" t="s">
        <v>3</v>
      </c>
      <c r="F686" s="18" t="s">
        <v>5</v>
      </c>
      <c r="G686" s="18" t="s">
        <v>11</v>
      </c>
      <c r="H686" s="18" t="s">
        <v>12</v>
      </c>
      <c r="I686" s="18" t="s">
        <v>0</v>
      </c>
      <c r="J686" s="15"/>
      <c r="K686" s="27"/>
    </row>
    <row r="687" spans="1:13" s="2" customFormat="1" ht="14.25" customHeight="1" x14ac:dyDescent="0.25">
      <c r="A687" s="41"/>
      <c r="B687" s="42"/>
      <c r="C687" s="26"/>
      <c r="D687" s="26"/>
      <c r="E687" s="26"/>
      <c r="F687" s="26">
        <v>200</v>
      </c>
      <c r="G687" s="26"/>
      <c r="H687" s="26"/>
      <c r="I687" s="26">
        <f>ROUND(PRODUCT(C687:H687),2)</f>
        <v>200</v>
      </c>
      <c r="J687" s="15"/>
      <c r="K687" s="27"/>
    </row>
    <row r="688" spans="1:13" s="2" customFormat="1" ht="14.25" hidden="1" customHeight="1" x14ac:dyDescent="0.25">
      <c r="A688" s="41"/>
      <c r="B688" s="42"/>
      <c r="C688" s="26"/>
      <c r="D688" s="26"/>
      <c r="E688" s="26"/>
      <c r="F688" s="26"/>
      <c r="G688" s="26"/>
      <c r="H688" s="26"/>
      <c r="I688" s="26">
        <f>ROUND(PRODUCT(C688:H688),2)</f>
        <v>0</v>
      </c>
      <c r="J688" s="15"/>
      <c r="K688" s="27"/>
    </row>
    <row r="689" spans="1:13" ht="15" hidden="1" customHeight="1" x14ac:dyDescent="0.4">
      <c r="A689" s="41"/>
      <c r="B689" s="42"/>
      <c r="C689" s="26"/>
      <c r="D689" s="26"/>
      <c r="E689" s="26"/>
      <c r="F689" s="26"/>
      <c r="G689" s="26"/>
      <c r="H689" s="26"/>
      <c r="I689" s="26">
        <f>ROUND(PRODUCT(C689:H689),2)</f>
        <v>0</v>
      </c>
      <c r="K689" s="27"/>
    </row>
    <row r="690" spans="1:13" ht="15" customHeight="1" x14ac:dyDescent="0.4">
      <c r="A690" s="3"/>
      <c r="B690" s="3"/>
      <c r="C690" s="20"/>
      <c r="D690" s="20"/>
      <c r="E690" s="20"/>
      <c r="F690" s="20"/>
      <c r="G690" s="20"/>
      <c r="H690" s="19" t="str">
        <f>MASTER!$C99</f>
        <v>UN</v>
      </c>
      <c r="I690" s="19">
        <f>ROUND(SUM(I687:I689),2)</f>
        <v>200</v>
      </c>
      <c r="J690" s="16"/>
      <c r="K690" s="27"/>
      <c r="L690" s="13"/>
      <c r="M690" s="13"/>
    </row>
    <row r="691" spans="1:13" ht="15" customHeight="1" x14ac:dyDescent="0.4">
      <c r="A691" s="21"/>
      <c r="B691" s="21"/>
      <c r="C691" s="25"/>
      <c r="D691" s="25"/>
      <c r="E691" s="25"/>
      <c r="F691" s="25"/>
      <c r="G691" s="25"/>
      <c r="H691" s="25"/>
      <c r="I691" s="25"/>
      <c r="K691" s="27"/>
      <c r="L691" s="13"/>
      <c r="M691" s="13"/>
    </row>
    <row r="692" spans="1:13" ht="23.25" customHeight="1" x14ac:dyDescent="0.4">
      <c r="A692" s="40" t="str">
        <f>MASTER!$A100</f>
        <v>001-009</v>
      </c>
      <c r="B692" s="47" t="str">
        <f>MASTER!$B100</f>
        <v>COBERTURA</v>
      </c>
      <c r="C692" s="48"/>
      <c r="D692" s="48"/>
      <c r="E692" s="48"/>
      <c r="F692" s="48"/>
      <c r="G692" s="48"/>
      <c r="H692" s="48"/>
      <c r="I692" s="49"/>
      <c r="J692" s="15">
        <f>MASTER!$D100</f>
        <v>0</v>
      </c>
      <c r="K692" s="27" t="str">
        <f>IF(I697&lt;&gt;J692, "ERRO", "OK")</f>
        <v>OK</v>
      </c>
      <c r="L692" s="13"/>
      <c r="M692" s="13"/>
    </row>
    <row r="693" spans="1:13" s="2" customFormat="1" ht="14.25" hidden="1" customHeight="1" x14ac:dyDescent="0.25">
      <c r="A693" s="46" t="s">
        <v>1</v>
      </c>
      <c r="B693" s="46"/>
      <c r="C693" s="18" t="s">
        <v>4</v>
      </c>
      <c r="D693" s="18" t="s">
        <v>2</v>
      </c>
      <c r="E693" s="18" t="s">
        <v>3</v>
      </c>
      <c r="F693" s="18" t="s">
        <v>5</v>
      </c>
      <c r="G693" s="18" t="s">
        <v>11</v>
      </c>
      <c r="H693" s="18" t="s">
        <v>12</v>
      </c>
      <c r="I693" s="18" t="s">
        <v>0</v>
      </c>
      <c r="J693" s="15"/>
      <c r="K693" s="27"/>
      <c r="L693" s="13"/>
      <c r="M693" s="13"/>
    </row>
    <row r="694" spans="1:13" s="2" customFormat="1" ht="14.25" hidden="1" customHeight="1" x14ac:dyDescent="0.25">
      <c r="A694" s="41"/>
      <c r="B694" s="42"/>
      <c r="C694" s="26"/>
      <c r="D694" s="26"/>
      <c r="E694" s="26"/>
      <c r="F694" s="26"/>
      <c r="G694" s="26"/>
      <c r="H694" s="26"/>
      <c r="I694" s="26">
        <f>ROUND(PRODUCT(C694:H694),2)</f>
        <v>0</v>
      </c>
      <c r="J694" s="15"/>
      <c r="K694" s="27"/>
      <c r="L694" s="13"/>
      <c r="M694" s="13"/>
    </row>
    <row r="695" spans="1:13" s="2" customFormat="1" ht="14.25" hidden="1" customHeight="1" x14ac:dyDescent="0.4">
      <c r="A695" s="41"/>
      <c r="B695" s="42"/>
      <c r="C695" s="26"/>
      <c r="D695" s="26"/>
      <c r="E695" s="26"/>
      <c r="F695" s="26"/>
      <c r="G695" s="26"/>
      <c r="H695" s="26"/>
      <c r="I695" s="26">
        <f>ROUND(PRODUCT(C695:H695),2)</f>
        <v>0</v>
      </c>
      <c r="J695" s="15"/>
      <c r="K695" s="28"/>
      <c r="L695" s="13"/>
      <c r="M695" s="13"/>
    </row>
    <row r="696" spans="1:13" ht="15" hidden="1" customHeight="1" x14ac:dyDescent="0.4">
      <c r="A696" s="41"/>
      <c r="B696" s="42"/>
      <c r="C696" s="26"/>
      <c r="D696" s="26"/>
      <c r="E696" s="26"/>
      <c r="F696" s="26"/>
      <c r="G696" s="26"/>
      <c r="H696" s="26"/>
      <c r="I696" s="26">
        <f>ROUND(PRODUCT(C696:H696),2)</f>
        <v>0</v>
      </c>
      <c r="L696" s="13"/>
      <c r="M696" s="13"/>
    </row>
    <row r="697" spans="1:13" ht="15" hidden="1" customHeight="1" x14ac:dyDescent="0.4">
      <c r="A697" s="3"/>
      <c r="B697" s="3"/>
      <c r="C697" s="20"/>
      <c r="D697" s="20"/>
      <c r="E697" s="20"/>
      <c r="F697" s="20"/>
      <c r="G697" s="20"/>
      <c r="H697" s="19">
        <f>MASTER!$C100</f>
        <v>0</v>
      </c>
      <c r="I697" s="19">
        <f>ROUND(SUM(I694:I696),2)</f>
        <v>0</v>
      </c>
      <c r="J697" s="16"/>
      <c r="K697" s="29"/>
      <c r="L697" s="13"/>
      <c r="M697" s="13"/>
    </row>
    <row r="698" spans="1:13" ht="15" hidden="1" customHeight="1" x14ac:dyDescent="0.4">
      <c r="A698" s="21"/>
      <c r="B698" s="21"/>
      <c r="C698" s="25"/>
      <c r="D698" s="25"/>
      <c r="E698" s="25"/>
      <c r="F698" s="25"/>
      <c r="G698" s="25"/>
      <c r="H698" s="25"/>
      <c r="I698" s="25"/>
    </row>
    <row r="699" spans="1:13" ht="27" customHeight="1" x14ac:dyDescent="0.4">
      <c r="A699" s="4" t="str">
        <f>MASTER!$A101</f>
        <v>64-23-74-172 O H</v>
      </c>
      <c r="B699" s="43" t="str">
        <f>MASTER!$B101</f>
        <v>COBERTURA EM TELHA CERAMICA TIPO PAULISTA, COM ARGAMASSA TRACO 1:3 (CIMENTO E ARAREIA) E ARAME RECOZIDO</v>
      </c>
      <c r="C699" s="44"/>
      <c r="D699" s="44"/>
      <c r="E699" s="44"/>
      <c r="F699" s="44"/>
      <c r="G699" s="44"/>
      <c r="H699" s="44"/>
      <c r="I699" s="45"/>
      <c r="J699" s="15">
        <f>MASTER!$D101</f>
        <v>50</v>
      </c>
      <c r="K699" s="27" t="str">
        <f>IF(I704&lt;&gt;J699, "ERRO", "OK")</f>
        <v>OK</v>
      </c>
    </row>
    <row r="700" spans="1:13" s="2" customFormat="1" ht="14.25" customHeight="1" x14ac:dyDescent="0.25">
      <c r="A700" s="46" t="s">
        <v>1</v>
      </c>
      <c r="B700" s="46"/>
      <c r="C700" s="18" t="s">
        <v>4</v>
      </c>
      <c r="D700" s="18" t="s">
        <v>2</v>
      </c>
      <c r="E700" s="18" t="s">
        <v>3</v>
      </c>
      <c r="F700" s="18" t="s">
        <v>5</v>
      </c>
      <c r="G700" s="18" t="s">
        <v>11</v>
      </c>
      <c r="H700" s="18" t="s">
        <v>12</v>
      </c>
      <c r="I700" s="18" t="s">
        <v>0</v>
      </c>
      <c r="J700" s="15"/>
      <c r="K700" s="27"/>
    </row>
    <row r="701" spans="1:13" s="2" customFormat="1" ht="14.25" customHeight="1" x14ac:dyDescent="0.25">
      <c r="A701" s="41"/>
      <c r="B701" s="42"/>
      <c r="C701" s="26"/>
      <c r="D701" s="26"/>
      <c r="E701" s="26"/>
      <c r="F701" s="26">
        <v>50</v>
      </c>
      <c r="G701" s="26"/>
      <c r="H701" s="26"/>
      <c r="I701" s="26">
        <f>ROUND(PRODUCT(C701:H701),2)</f>
        <v>50</v>
      </c>
      <c r="J701" s="15"/>
      <c r="K701" s="27"/>
    </row>
    <row r="702" spans="1:13" s="2" customFormat="1" ht="14.25" hidden="1" customHeight="1" x14ac:dyDescent="0.25">
      <c r="A702" s="41"/>
      <c r="B702" s="42"/>
      <c r="C702" s="26"/>
      <c r="D702" s="26"/>
      <c r="E702" s="26"/>
      <c r="F702" s="26"/>
      <c r="G702" s="26"/>
      <c r="H702" s="26"/>
      <c r="I702" s="26">
        <f>ROUND(PRODUCT(C702:H702),2)</f>
        <v>0</v>
      </c>
      <c r="J702" s="15"/>
      <c r="K702" s="27"/>
    </row>
    <row r="703" spans="1:13" ht="15" hidden="1" customHeight="1" x14ac:dyDescent="0.4">
      <c r="A703" s="41"/>
      <c r="B703" s="42"/>
      <c r="C703" s="26"/>
      <c r="D703" s="26"/>
      <c r="E703" s="26"/>
      <c r="F703" s="26"/>
      <c r="G703" s="26"/>
      <c r="H703" s="26"/>
      <c r="I703" s="26">
        <f>ROUND(PRODUCT(C703:H703),2)</f>
        <v>0</v>
      </c>
      <c r="K703" s="27"/>
    </row>
    <row r="704" spans="1:13" ht="15" customHeight="1" x14ac:dyDescent="0.4">
      <c r="A704" s="3"/>
      <c r="B704" s="3"/>
      <c r="C704" s="20"/>
      <c r="D704" s="20"/>
      <c r="E704" s="20"/>
      <c r="F704" s="20"/>
      <c r="G704" s="20"/>
      <c r="H704" s="19" t="str">
        <f>MASTER!$C101</f>
        <v>M2</v>
      </c>
      <c r="I704" s="19">
        <f>ROUND(SUM(I701:I703),2)</f>
        <v>50</v>
      </c>
      <c r="J704" s="16"/>
      <c r="K704" s="27"/>
      <c r="L704" s="13"/>
      <c r="M704" s="13"/>
    </row>
    <row r="705" spans="1:13" ht="15" customHeight="1" x14ac:dyDescent="0.4">
      <c r="A705" s="21"/>
      <c r="B705" s="21"/>
      <c r="C705" s="25"/>
      <c r="D705" s="25"/>
      <c r="E705" s="25"/>
      <c r="F705" s="25"/>
      <c r="G705" s="25"/>
      <c r="H705" s="25"/>
      <c r="I705" s="25"/>
      <c r="K705" s="27"/>
      <c r="L705" s="13"/>
      <c r="M705" s="13"/>
    </row>
    <row r="706" spans="1:13" ht="23.25" customHeight="1" x14ac:dyDescent="0.4">
      <c r="A706" s="40" t="str">
        <f>MASTER!$A102</f>
        <v>001-010</v>
      </c>
      <c r="B706" s="47" t="str">
        <f>MASTER!$B102</f>
        <v>DIVERSOS</v>
      </c>
      <c r="C706" s="48"/>
      <c r="D706" s="48"/>
      <c r="E706" s="48"/>
      <c r="F706" s="48"/>
      <c r="G706" s="48"/>
      <c r="H706" s="48"/>
      <c r="I706" s="49"/>
      <c r="J706" s="15">
        <f>MASTER!$D102</f>
        <v>0</v>
      </c>
      <c r="K706" s="27" t="str">
        <f>IF(I711&lt;&gt;J706, "ERRO", "OK")</f>
        <v>OK</v>
      </c>
      <c r="L706" s="13"/>
      <c r="M706" s="13"/>
    </row>
    <row r="707" spans="1:13" s="2" customFormat="1" ht="14.25" hidden="1" customHeight="1" x14ac:dyDescent="0.25">
      <c r="A707" s="46" t="s">
        <v>1</v>
      </c>
      <c r="B707" s="46"/>
      <c r="C707" s="18" t="s">
        <v>4</v>
      </c>
      <c r="D707" s="18" t="s">
        <v>2</v>
      </c>
      <c r="E707" s="18" t="s">
        <v>3</v>
      </c>
      <c r="F707" s="18" t="s">
        <v>5</v>
      </c>
      <c r="G707" s="18" t="s">
        <v>11</v>
      </c>
      <c r="H707" s="18" t="s">
        <v>12</v>
      </c>
      <c r="I707" s="18" t="s">
        <v>0</v>
      </c>
      <c r="J707" s="15"/>
      <c r="K707" s="27"/>
      <c r="L707" s="13"/>
      <c r="M707" s="13"/>
    </row>
    <row r="708" spans="1:13" s="2" customFormat="1" ht="14.25" hidden="1" customHeight="1" x14ac:dyDescent="0.25">
      <c r="A708" s="41"/>
      <c r="B708" s="42"/>
      <c r="C708" s="26"/>
      <c r="D708" s="26"/>
      <c r="E708" s="26"/>
      <c r="F708" s="26"/>
      <c r="G708" s="26"/>
      <c r="H708" s="26"/>
      <c r="I708" s="26">
        <f>ROUND(PRODUCT(C708:H708),2)</f>
        <v>0</v>
      </c>
      <c r="J708" s="15"/>
      <c r="K708" s="27"/>
      <c r="L708" s="13"/>
      <c r="M708" s="13"/>
    </row>
    <row r="709" spans="1:13" s="2" customFormat="1" ht="14.25" hidden="1" customHeight="1" x14ac:dyDescent="0.4">
      <c r="A709" s="41"/>
      <c r="B709" s="42"/>
      <c r="C709" s="26"/>
      <c r="D709" s="26"/>
      <c r="E709" s="26"/>
      <c r="F709" s="26"/>
      <c r="G709" s="26"/>
      <c r="H709" s="26"/>
      <c r="I709" s="26">
        <f>ROUND(PRODUCT(C709:H709),2)</f>
        <v>0</v>
      </c>
      <c r="J709" s="15"/>
      <c r="K709" s="28"/>
      <c r="L709" s="13"/>
      <c r="M709" s="13"/>
    </row>
    <row r="710" spans="1:13" ht="15" hidden="1" customHeight="1" x14ac:dyDescent="0.4">
      <c r="A710" s="41"/>
      <c r="B710" s="42"/>
      <c r="C710" s="26"/>
      <c r="D710" s="26"/>
      <c r="E710" s="26"/>
      <c r="F710" s="26"/>
      <c r="G710" s="26"/>
      <c r="H710" s="26"/>
      <c r="I710" s="26">
        <f>ROUND(PRODUCT(C710:H710),2)</f>
        <v>0</v>
      </c>
      <c r="L710" s="13"/>
      <c r="M710" s="13"/>
    </row>
    <row r="711" spans="1:13" ht="15" hidden="1" customHeight="1" x14ac:dyDescent="0.4">
      <c r="A711" s="3"/>
      <c r="B711" s="3"/>
      <c r="C711" s="20"/>
      <c r="D711" s="20"/>
      <c r="E711" s="20"/>
      <c r="F711" s="20"/>
      <c r="G711" s="20"/>
      <c r="H711" s="19">
        <f>MASTER!$C102</f>
        <v>0</v>
      </c>
      <c r="I711" s="19">
        <f>ROUND(SUM(I708:I710),2)</f>
        <v>0</v>
      </c>
      <c r="J711" s="16"/>
      <c r="K711" s="29"/>
      <c r="L711" s="13"/>
      <c r="M711" s="13"/>
    </row>
    <row r="712" spans="1:13" ht="15" hidden="1" customHeight="1" x14ac:dyDescent="0.4">
      <c r="A712" s="21"/>
      <c r="B712" s="21"/>
      <c r="C712" s="25"/>
      <c r="D712" s="25"/>
      <c r="E712" s="25"/>
      <c r="F712" s="25"/>
      <c r="G712" s="25"/>
      <c r="H712" s="25"/>
      <c r="I712" s="25"/>
    </row>
    <row r="713" spans="1:13" ht="23.25" customHeight="1" x14ac:dyDescent="0.4">
      <c r="A713" s="4" t="str">
        <f>MASTER!$A103</f>
        <v>63-19-01-301 O H</v>
      </c>
      <c r="B713" s="43" t="str">
        <f>MASTER!$B103</f>
        <v>LIMPEZA FINAL DA OBRA (9537)</v>
      </c>
      <c r="C713" s="44"/>
      <c r="D713" s="44"/>
      <c r="E713" s="44"/>
      <c r="F713" s="44"/>
      <c r="G713" s="44"/>
      <c r="H713" s="44"/>
      <c r="I713" s="45"/>
      <c r="J713" s="15">
        <f>MASTER!$D103</f>
        <v>450</v>
      </c>
      <c r="K713" s="27" t="str">
        <f>IF(I718&lt;&gt;J713, "ERRO", "OK")</f>
        <v>OK</v>
      </c>
    </row>
    <row r="714" spans="1:13" s="2" customFormat="1" ht="14.25" customHeight="1" x14ac:dyDescent="0.25">
      <c r="A714" s="46" t="s">
        <v>1</v>
      </c>
      <c r="B714" s="46"/>
      <c r="C714" s="18" t="s">
        <v>4</v>
      </c>
      <c r="D714" s="18" t="s">
        <v>2</v>
      </c>
      <c r="E714" s="18" t="s">
        <v>3</v>
      </c>
      <c r="F714" s="18" t="s">
        <v>5</v>
      </c>
      <c r="G714" s="18" t="s">
        <v>11</v>
      </c>
      <c r="H714" s="18" t="s">
        <v>12</v>
      </c>
      <c r="I714" s="18" t="s">
        <v>0</v>
      </c>
      <c r="J714" s="15"/>
      <c r="K714" s="27"/>
    </row>
    <row r="715" spans="1:13" s="2" customFormat="1" ht="14.25" customHeight="1" x14ac:dyDescent="0.25">
      <c r="A715" s="41"/>
      <c r="B715" s="42"/>
      <c r="C715" s="26"/>
      <c r="D715" s="26"/>
      <c r="E715" s="26"/>
      <c r="F715" s="26">
        <v>450</v>
      </c>
      <c r="G715" s="26"/>
      <c r="H715" s="26"/>
      <c r="I715" s="26">
        <f>ROUND(PRODUCT(C715:H715),2)</f>
        <v>450</v>
      </c>
      <c r="J715" s="15"/>
      <c r="K715" s="27"/>
    </row>
    <row r="716" spans="1:13" s="2" customFormat="1" ht="14.25" hidden="1" customHeight="1" x14ac:dyDescent="0.25">
      <c r="A716" s="41"/>
      <c r="B716" s="42"/>
      <c r="C716" s="26"/>
      <c r="D716" s="26"/>
      <c r="E716" s="26"/>
      <c r="F716" s="26"/>
      <c r="G716" s="26"/>
      <c r="H716" s="26"/>
      <c r="I716" s="26">
        <f>ROUND(PRODUCT(C716:H716),2)</f>
        <v>0</v>
      </c>
      <c r="J716" s="15"/>
      <c r="K716" s="27"/>
    </row>
    <row r="717" spans="1:13" ht="15" hidden="1" customHeight="1" x14ac:dyDescent="0.4">
      <c r="A717" s="41"/>
      <c r="B717" s="42"/>
      <c r="C717" s="26"/>
      <c r="D717" s="26"/>
      <c r="E717" s="26"/>
      <c r="F717" s="26"/>
      <c r="G717" s="26"/>
      <c r="H717" s="26"/>
      <c r="I717" s="26">
        <f>ROUND(PRODUCT(C717:H717),2)</f>
        <v>0</v>
      </c>
      <c r="K717" s="27"/>
    </row>
    <row r="718" spans="1:13" ht="15" customHeight="1" x14ac:dyDescent="0.4">
      <c r="A718" s="3"/>
      <c r="B718" s="3"/>
      <c r="C718" s="20"/>
      <c r="D718" s="20"/>
      <c r="E718" s="20"/>
      <c r="F718" s="20"/>
      <c r="G718" s="20"/>
      <c r="H718" s="19" t="str">
        <f>MASTER!$C103</f>
        <v>M2</v>
      </c>
      <c r="I718" s="19">
        <f>ROUND(SUM(I715:I717),2)</f>
        <v>450</v>
      </c>
      <c r="J718" s="16"/>
      <c r="K718" s="27"/>
      <c r="L718" s="13"/>
      <c r="M718" s="13"/>
    </row>
    <row r="719" spans="1:13" ht="15" customHeight="1" x14ac:dyDescent="0.4">
      <c r="A719" s="21"/>
      <c r="B719" s="21"/>
      <c r="C719" s="25"/>
      <c r="D719" s="25"/>
      <c r="E719" s="25"/>
      <c r="F719" s="25"/>
      <c r="G719" s="25"/>
      <c r="H719" s="25"/>
      <c r="I719" s="25"/>
      <c r="K719" s="27"/>
      <c r="L719" s="13"/>
      <c r="M719" s="13"/>
    </row>
    <row r="720" spans="1:13" ht="23.25" customHeight="1" x14ac:dyDescent="0.4">
      <c r="A720" s="4" t="str">
        <f>MASTER!$A104</f>
        <v>64-23-74-183 O H</v>
      </c>
      <c r="B720" s="43" t="str">
        <f>MASTER!$B104</f>
        <v>CARGA MANUAL DE ENTULHO EM CAMINHAO BASCULANTE 6 M3    (72897)</v>
      </c>
      <c r="C720" s="44"/>
      <c r="D720" s="44"/>
      <c r="E720" s="44"/>
      <c r="F720" s="44"/>
      <c r="G720" s="44"/>
      <c r="H720" s="44"/>
      <c r="I720" s="45"/>
      <c r="J720" s="15">
        <f>MASTER!$D104</f>
        <v>350</v>
      </c>
      <c r="K720" s="27" t="str">
        <f>IF(I725&lt;&gt;J720, "ERRO", "OK")</f>
        <v>OK</v>
      </c>
      <c r="L720" s="13"/>
      <c r="M720" s="13"/>
    </row>
    <row r="721" spans="1:13" s="2" customFormat="1" ht="14.25" customHeight="1" x14ac:dyDescent="0.25">
      <c r="A721" s="46" t="s">
        <v>1</v>
      </c>
      <c r="B721" s="46"/>
      <c r="C721" s="18" t="s">
        <v>4</v>
      </c>
      <c r="D721" s="18" t="s">
        <v>2</v>
      </c>
      <c r="E721" s="18" t="s">
        <v>3</v>
      </c>
      <c r="F721" s="18" t="s">
        <v>5</v>
      </c>
      <c r="G721" s="18" t="s">
        <v>11</v>
      </c>
      <c r="H721" s="18" t="s">
        <v>12</v>
      </c>
      <c r="I721" s="18" t="s">
        <v>0</v>
      </c>
      <c r="J721" s="15"/>
      <c r="K721" s="27"/>
      <c r="L721" s="13"/>
      <c r="M721" s="13"/>
    </row>
    <row r="722" spans="1:13" s="2" customFormat="1" ht="14.25" customHeight="1" x14ac:dyDescent="0.25">
      <c r="A722" s="41"/>
      <c r="B722" s="42"/>
      <c r="C722" s="26"/>
      <c r="D722" s="26"/>
      <c r="E722" s="26"/>
      <c r="F722" s="26">
        <v>350</v>
      </c>
      <c r="G722" s="26"/>
      <c r="H722" s="26"/>
      <c r="I722" s="26">
        <f>ROUND(PRODUCT(C722:H722),2)</f>
        <v>350</v>
      </c>
      <c r="J722" s="15"/>
      <c r="K722" s="27"/>
      <c r="L722" s="13"/>
      <c r="M722" s="13"/>
    </row>
    <row r="723" spans="1:13" s="2" customFormat="1" ht="14.25" hidden="1" customHeight="1" x14ac:dyDescent="0.4">
      <c r="A723" s="41"/>
      <c r="B723" s="42"/>
      <c r="C723" s="26"/>
      <c r="D723" s="26"/>
      <c r="E723" s="26"/>
      <c r="F723" s="26"/>
      <c r="G723" s="26"/>
      <c r="H723" s="26"/>
      <c r="I723" s="26">
        <f>ROUND(PRODUCT(C723:H723),2)</f>
        <v>0</v>
      </c>
      <c r="J723" s="15"/>
      <c r="K723" s="28"/>
      <c r="L723" s="13"/>
      <c r="M723" s="13"/>
    </row>
    <row r="724" spans="1:13" ht="15" hidden="1" customHeight="1" x14ac:dyDescent="0.4">
      <c r="A724" s="41"/>
      <c r="B724" s="42"/>
      <c r="C724" s="26"/>
      <c r="D724" s="26"/>
      <c r="E724" s="26"/>
      <c r="F724" s="26"/>
      <c r="G724" s="26"/>
      <c r="H724" s="26"/>
      <c r="I724" s="26">
        <f>ROUND(PRODUCT(C724:H724),2)</f>
        <v>0</v>
      </c>
      <c r="L724" s="13"/>
      <c r="M724" s="13"/>
    </row>
    <row r="725" spans="1:13" ht="15" customHeight="1" x14ac:dyDescent="0.4">
      <c r="A725" s="3"/>
      <c r="B725" s="3"/>
      <c r="C725" s="20"/>
      <c r="D725" s="20"/>
      <c r="E725" s="20"/>
      <c r="F725" s="20"/>
      <c r="G725" s="20"/>
      <c r="H725" s="19" t="str">
        <f>MASTER!$C104</f>
        <v>M3</v>
      </c>
      <c r="I725" s="19">
        <f>ROUND(SUM(I722:I724),2)</f>
        <v>350</v>
      </c>
      <c r="J725" s="16"/>
      <c r="K725" s="29"/>
      <c r="L725" s="13"/>
      <c r="M725" s="13"/>
    </row>
    <row r="726" spans="1:13" ht="15" customHeight="1" x14ac:dyDescent="0.4">
      <c r="A726" s="21"/>
      <c r="B726" s="21"/>
      <c r="C726" s="25"/>
      <c r="D726" s="25"/>
      <c r="E726" s="25"/>
      <c r="F726" s="25"/>
      <c r="G726" s="25"/>
      <c r="H726" s="25"/>
      <c r="I726" s="25"/>
    </row>
    <row r="727" spans="1:13" ht="27" customHeight="1" x14ac:dyDescent="0.4">
      <c r="A727" s="4" t="str">
        <f>MASTER!$A105</f>
        <v>01-15-06-001 C H</v>
      </c>
      <c r="B727" s="43" t="str">
        <f>MASTER!$B105</f>
        <v>TRANSPORTE COM CAMINHÇO BASCULANTE DE 6Mü, EM VIA URBANA EM LEITO NATURAL (UNIDADE: TXKM). AF_07/2020 CS: 97916</v>
      </c>
      <c r="C727" s="44"/>
      <c r="D727" s="44"/>
      <c r="E727" s="44"/>
      <c r="F727" s="44"/>
      <c r="G727" s="44"/>
      <c r="H727" s="44"/>
      <c r="I727" s="45"/>
      <c r="J727" s="15">
        <f>MASTER!$D105</f>
        <v>7500</v>
      </c>
      <c r="K727" s="27" t="str">
        <f>IF(I732&lt;&gt;J727, "ERRO", "OK")</f>
        <v>OK</v>
      </c>
    </row>
    <row r="728" spans="1:13" s="2" customFormat="1" ht="14.25" customHeight="1" x14ac:dyDescent="0.25">
      <c r="A728" s="46" t="s">
        <v>1</v>
      </c>
      <c r="B728" s="46"/>
      <c r="C728" s="18" t="s">
        <v>4</v>
      </c>
      <c r="D728" s="18" t="s">
        <v>2</v>
      </c>
      <c r="E728" s="18" t="s">
        <v>3</v>
      </c>
      <c r="F728" s="18" t="s">
        <v>5</v>
      </c>
      <c r="G728" s="18" t="s">
        <v>11</v>
      </c>
      <c r="H728" s="18" t="s">
        <v>12</v>
      </c>
      <c r="I728" s="18" t="s">
        <v>0</v>
      </c>
      <c r="J728" s="15"/>
      <c r="K728" s="27"/>
    </row>
    <row r="729" spans="1:13" s="2" customFormat="1" ht="14.25" customHeight="1" x14ac:dyDescent="0.25">
      <c r="A729" s="41"/>
      <c r="B729" s="42"/>
      <c r="C729" s="26"/>
      <c r="D729" s="26"/>
      <c r="E729" s="26"/>
      <c r="F729" s="26">
        <v>7500</v>
      </c>
      <c r="G729" s="26"/>
      <c r="H729" s="26"/>
      <c r="I729" s="26">
        <f>ROUND(PRODUCT(C729:H729),2)</f>
        <v>7500</v>
      </c>
      <c r="J729" s="15"/>
      <c r="K729" s="27"/>
    </row>
    <row r="730" spans="1:13" s="2" customFormat="1" ht="14.25" hidden="1" customHeight="1" x14ac:dyDescent="0.25">
      <c r="A730" s="41"/>
      <c r="B730" s="42"/>
      <c r="C730" s="26"/>
      <c r="D730" s="26"/>
      <c r="E730" s="26"/>
      <c r="F730" s="26"/>
      <c r="G730" s="26"/>
      <c r="H730" s="26"/>
      <c r="I730" s="26">
        <f>ROUND(PRODUCT(C730:H730),2)</f>
        <v>0</v>
      </c>
      <c r="J730" s="15"/>
      <c r="K730" s="27"/>
    </row>
    <row r="731" spans="1:13" ht="15" hidden="1" customHeight="1" x14ac:dyDescent="0.4">
      <c r="A731" s="41"/>
      <c r="B731" s="42"/>
      <c r="C731" s="26"/>
      <c r="D731" s="26"/>
      <c r="E731" s="26"/>
      <c r="F731" s="26"/>
      <c r="G731" s="26"/>
      <c r="H731" s="26"/>
      <c r="I731" s="26">
        <f>ROUND(PRODUCT(C731:H731),2)</f>
        <v>0</v>
      </c>
      <c r="K731" s="27"/>
    </row>
    <row r="732" spans="1:13" ht="15" customHeight="1" x14ac:dyDescent="0.4">
      <c r="A732" s="3"/>
      <c r="B732" s="3"/>
      <c r="C732" s="20"/>
      <c r="D732" s="20"/>
      <c r="E732" s="20"/>
      <c r="F732" s="20"/>
      <c r="G732" s="20"/>
      <c r="H732" s="19" t="str">
        <f>MASTER!$C105</f>
        <v>TXK</v>
      </c>
      <c r="I732" s="19">
        <f>ROUND(SUM(I729:I731),2)</f>
        <v>7500</v>
      </c>
      <c r="J732" s="16"/>
      <c r="K732" s="27"/>
      <c r="L732" s="13"/>
      <c r="M732" s="13"/>
    </row>
    <row r="733" spans="1:13" ht="15" customHeight="1" x14ac:dyDescent="0.4">
      <c r="A733" s="21"/>
      <c r="B733" s="21"/>
      <c r="C733" s="25"/>
      <c r="D733" s="25"/>
      <c r="E733" s="25"/>
      <c r="F733" s="25"/>
      <c r="G733" s="25"/>
      <c r="H733" s="25"/>
      <c r="I733" s="25"/>
      <c r="K733" s="27"/>
      <c r="L733" s="13"/>
      <c r="M733" s="13"/>
    </row>
    <row r="734" spans="1:13" ht="27" customHeight="1" x14ac:dyDescent="0.4">
      <c r="A734" s="4" t="str">
        <f>MASTER!$A106</f>
        <v>01-21-02-014 C H</v>
      </c>
      <c r="B734" s="43" t="str">
        <f>MASTER!$B106</f>
        <v>TRANSPORTE HORIZONTAL COM JERICA DE 60 L, DE MASSA/ GRANEL (UNIDADE: M3XKM). AF_07/2019 CS: 100205</v>
      </c>
      <c r="C734" s="44"/>
      <c r="D734" s="44"/>
      <c r="E734" s="44"/>
      <c r="F734" s="44"/>
      <c r="G734" s="44"/>
      <c r="H734" s="44"/>
      <c r="I734" s="45"/>
      <c r="J734" s="15">
        <f>MASTER!$D106</f>
        <v>12</v>
      </c>
      <c r="K734" s="27" t="str">
        <f>IF(I739&lt;&gt;J734, "ERRO", "OK")</f>
        <v>OK</v>
      </c>
      <c r="L734" s="13"/>
      <c r="M734" s="13"/>
    </row>
    <row r="735" spans="1:13" s="2" customFormat="1" ht="14.25" customHeight="1" x14ac:dyDescent="0.25">
      <c r="A735" s="46" t="s">
        <v>1</v>
      </c>
      <c r="B735" s="46"/>
      <c r="C735" s="18" t="s">
        <v>4</v>
      </c>
      <c r="D735" s="18" t="s">
        <v>2</v>
      </c>
      <c r="E735" s="18" t="s">
        <v>3</v>
      </c>
      <c r="F735" s="18" t="s">
        <v>5</v>
      </c>
      <c r="G735" s="18" t="s">
        <v>11</v>
      </c>
      <c r="H735" s="18" t="s">
        <v>12</v>
      </c>
      <c r="I735" s="18" t="s">
        <v>0</v>
      </c>
      <c r="J735" s="15"/>
      <c r="K735" s="27"/>
      <c r="L735" s="13"/>
      <c r="M735" s="13"/>
    </row>
    <row r="736" spans="1:13" s="2" customFormat="1" ht="14.25" customHeight="1" x14ac:dyDescent="0.25">
      <c r="A736" s="41"/>
      <c r="B736" s="42"/>
      <c r="C736" s="26"/>
      <c r="D736" s="26"/>
      <c r="E736" s="26"/>
      <c r="F736" s="26">
        <v>12</v>
      </c>
      <c r="G736" s="26"/>
      <c r="H736" s="26"/>
      <c r="I736" s="26">
        <f>ROUND(PRODUCT(C736:H736),2)</f>
        <v>12</v>
      </c>
      <c r="J736" s="15"/>
      <c r="K736" s="27"/>
      <c r="L736" s="13"/>
      <c r="M736" s="13"/>
    </row>
    <row r="737" spans="1:13" s="2" customFormat="1" ht="14.25" hidden="1" customHeight="1" x14ac:dyDescent="0.4">
      <c r="A737" s="41"/>
      <c r="B737" s="42"/>
      <c r="C737" s="26"/>
      <c r="D737" s="26"/>
      <c r="E737" s="26"/>
      <c r="F737" s="26"/>
      <c r="G737" s="26"/>
      <c r="H737" s="26"/>
      <c r="I737" s="26">
        <f>ROUND(PRODUCT(C737:H737),2)</f>
        <v>0</v>
      </c>
      <c r="J737" s="15"/>
      <c r="K737" s="28"/>
      <c r="L737" s="13"/>
      <c r="M737" s="13"/>
    </row>
    <row r="738" spans="1:13" ht="15" hidden="1" customHeight="1" x14ac:dyDescent="0.4">
      <c r="A738" s="41"/>
      <c r="B738" s="42"/>
      <c r="C738" s="26"/>
      <c r="D738" s="26"/>
      <c r="E738" s="26"/>
      <c r="F738" s="26"/>
      <c r="G738" s="26"/>
      <c r="H738" s="26"/>
      <c r="I738" s="26">
        <f>ROUND(PRODUCT(C738:H738),2)</f>
        <v>0</v>
      </c>
      <c r="L738" s="13"/>
      <c r="M738" s="13"/>
    </row>
    <row r="739" spans="1:13" ht="15" customHeight="1" x14ac:dyDescent="0.4">
      <c r="A739" s="3"/>
      <c r="B739" s="3"/>
      <c r="C739" s="20"/>
      <c r="D739" s="20"/>
      <c r="E739" s="20"/>
      <c r="F739" s="20"/>
      <c r="G739" s="20"/>
      <c r="H739" s="19" t="str">
        <f>MASTER!$C106</f>
        <v>M3X</v>
      </c>
      <c r="I739" s="19">
        <f>ROUND(SUM(I736:I738),2)</f>
        <v>12</v>
      </c>
      <c r="J739" s="16"/>
      <c r="K739" s="29"/>
      <c r="L739" s="13"/>
      <c r="M739" s="13"/>
    </row>
    <row r="740" spans="1:13" ht="15" customHeight="1" x14ac:dyDescent="0.4">
      <c r="A740" s="21"/>
      <c r="B740" s="21"/>
      <c r="C740" s="25"/>
      <c r="D740" s="25"/>
      <c r="E740" s="25"/>
      <c r="F740" s="25"/>
      <c r="G740" s="25"/>
      <c r="H740" s="25"/>
      <c r="I740" s="25"/>
    </row>
    <row r="741" spans="1:13" ht="27" customHeight="1" x14ac:dyDescent="0.4">
      <c r="A741" s="4" t="str">
        <f>MASTER!$A107</f>
        <v>63-21-04-001 O H</v>
      </c>
      <c r="B741" s="43" t="str">
        <f>MASTER!$B107</f>
        <v>TRANSPORTE VERTICAL MANUAL DE MATERIAISA GRANEL,COM CARRINHO OU GERICA,DO TRREO AT A 3A. LAJE</v>
      </c>
      <c r="C741" s="44"/>
      <c r="D741" s="44"/>
      <c r="E741" s="44"/>
      <c r="F741" s="44"/>
      <c r="G741" s="44"/>
      <c r="H741" s="44"/>
      <c r="I741" s="45"/>
      <c r="J741" s="15">
        <f>MASTER!$D107</f>
        <v>112.5</v>
      </c>
      <c r="K741" s="27" t="str">
        <f>IF(I746&lt;&gt;J741, "ERRO", "OK")</f>
        <v>OK</v>
      </c>
    </row>
    <row r="742" spans="1:13" s="2" customFormat="1" ht="14.25" customHeight="1" x14ac:dyDescent="0.25">
      <c r="A742" s="46" t="s">
        <v>1</v>
      </c>
      <c r="B742" s="46"/>
      <c r="C742" s="18" t="s">
        <v>4</v>
      </c>
      <c r="D742" s="18" t="s">
        <v>2</v>
      </c>
      <c r="E742" s="18" t="s">
        <v>3</v>
      </c>
      <c r="F742" s="18" t="s">
        <v>5</v>
      </c>
      <c r="G742" s="18" t="s">
        <v>11</v>
      </c>
      <c r="H742" s="18" t="s">
        <v>12</v>
      </c>
      <c r="I742" s="18" t="s">
        <v>0</v>
      </c>
      <c r="J742" s="15"/>
      <c r="K742" s="27"/>
    </row>
    <row r="743" spans="1:13" s="2" customFormat="1" ht="14.25" customHeight="1" x14ac:dyDescent="0.25">
      <c r="A743" s="41"/>
      <c r="B743" s="42"/>
      <c r="C743" s="26"/>
      <c r="D743" s="26"/>
      <c r="E743" s="26"/>
      <c r="F743" s="26">
        <v>112.5</v>
      </c>
      <c r="G743" s="26"/>
      <c r="H743" s="26"/>
      <c r="I743" s="26">
        <f>ROUND(PRODUCT(C743:H743),2)</f>
        <v>112.5</v>
      </c>
      <c r="J743" s="15"/>
      <c r="K743" s="27"/>
    </row>
    <row r="744" spans="1:13" s="2" customFormat="1" ht="14.25" hidden="1" customHeight="1" x14ac:dyDescent="0.25">
      <c r="A744" s="41"/>
      <c r="B744" s="42"/>
      <c r="C744" s="26"/>
      <c r="D744" s="26"/>
      <c r="E744" s="26"/>
      <c r="F744" s="26"/>
      <c r="G744" s="26"/>
      <c r="H744" s="26"/>
      <c r="I744" s="26">
        <f>ROUND(PRODUCT(C744:H744),2)</f>
        <v>0</v>
      </c>
      <c r="J744" s="15"/>
      <c r="K744" s="27"/>
    </row>
    <row r="745" spans="1:13" ht="15" hidden="1" customHeight="1" x14ac:dyDescent="0.4">
      <c r="A745" s="41"/>
      <c r="B745" s="42"/>
      <c r="C745" s="26"/>
      <c r="D745" s="26"/>
      <c r="E745" s="26"/>
      <c r="F745" s="26"/>
      <c r="G745" s="26"/>
      <c r="H745" s="26"/>
      <c r="I745" s="26">
        <f>ROUND(PRODUCT(C745:H745),2)</f>
        <v>0</v>
      </c>
      <c r="K745" s="27"/>
    </row>
    <row r="746" spans="1:13" ht="15" customHeight="1" x14ac:dyDescent="0.4">
      <c r="A746" s="3"/>
      <c r="B746" s="3"/>
      <c r="C746" s="20"/>
      <c r="D746" s="20"/>
      <c r="E746" s="20"/>
      <c r="F746" s="20"/>
      <c r="G746" s="20"/>
      <c r="H746" s="19" t="str">
        <f>MASTER!$C107</f>
        <v>M3</v>
      </c>
      <c r="I746" s="19">
        <f>ROUND(SUM(I743:I745),2)</f>
        <v>112.5</v>
      </c>
      <c r="J746" s="16"/>
      <c r="K746" s="27"/>
      <c r="L746" s="13"/>
      <c r="M746" s="13"/>
    </row>
    <row r="747" spans="1:13" ht="15" customHeight="1" x14ac:dyDescent="0.4">
      <c r="A747" s="21"/>
      <c r="B747" s="21"/>
      <c r="C747" s="25"/>
      <c r="D747" s="25"/>
      <c r="E747" s="25"/>
      <c r="F747" s="25"/>
      <c r="G747" s="25"/>
      <c r="H747" s="25"/>
      <c r="I747" s="25"/>
      <c r="K747" s="27"/>
      <c r="L747" s="13"/>
      <c r="M747" s="13"/>
    </row>
    <row r="748" spans="1:13" ht="27" customHeight="1" x14ac:dyDescent="0.4">
      <c r="A748" s="4" t="str">
        <f>MASTER!$A108</f>
        <v>02-01-01-002 O H</v>
      </c>
      <c r="B748" s="43" t="str">
        <f>MASTER!$B108</f>
        <v>ADICIONAL DE HORA EXTRA AOS DOMINGOS EFERIADOS DE 110% - AJUDANTE ESPECIALIZADO COM COMPLEMENTARES  CS:88243</v>
      </c>
      <c r="C748" s="44"/>
      <c r="D748" s="44"/>
      <c r="E748" s="44"/>
      <c r="F748" s="44"/>
      <c r="G748" s="44"/>
      <c r="H748" s="44"/>
      <c r="I748" s="45"/>
      <c r="J748" s="15">
        <f>MASTER!$D108</f>
        <v>350</v>
      </c>
      <c r="K748" s="27" t="str">
        <f>IF(I753&lt;&gt;J748, "ERRO", "OK")</f>
        <v>OK</v>
      </c>
      <c r="L748" s="13"/>
      <c r="M748" s="13"/>
    </row>
    <row r="749" spans="1:13" s="2" customFormat="1" ht="14.25" customHeight="1" x14ac:dyDescent="0.25">
      <c r="A749" s="46" t="s">
        <v>1</v>
      </c>
      <c r="B749" s="46"/>
      <c r="C749" s="18" t="s">
        <v>4</v>
      </c>
      <c r="D749" s="18" t="s">
        <v>2</v>
      </c>
      <c r="E749" s="18" t="s">
        <v>3</v>
      </c>
      <c r="F749" s="18" t="s">
        <v>5</v>
      </c>
      <c r="G749" s="18" t="s">
        <v>11</v>
      </c>
      <c r="H749" s="18" t="s">
        <v>12</v>
      </c>
      <c r="I749" s="18" t="s">
        <v>0</v>
      </c>
      <c r="J749" s="15"/>
      <c r="K749" s="27"/>
      <c r="L749" s="13"/>
      <c r="M749" s="13"/>
    </row>
    <row r="750" spans="1:13" s="2" customFormat="1" ht="14.25" customHeight="1" x14ac:dyDescent="0.25">
      <c r="A750" s="41"/>
      <c r="B750" s="42"/>
      <c r="C750" s="26"/>
      <c r="D750" s="26"/>
      <c r="E750" s="26"/>
      <c r="F750" s="26">
        <v>350</v>
      </c>
      <c r="G750" s="26"/>
      <c r="H750" s="26"/>
      <c r="I750" s="26">
        <f>ROUND(PRODUCT(C750:H750),2)</f>
        <v>350</v>
      </c>
      <c r="J750" s="15"/>
      <c r="K750" s="27"/>
      <c r="L750" s="13"/>
      <c r="M750" s="13"/>
    </row>
    <row r="751" spans="1:13" s="2" customFormat="1" ht="14.25" hidden="1" customHeight="1" x14ac:dyDescent="0.4">
      <c r="A751" s="41"/>
      <c r="B751" s="42"/>
      <c r="C751" s="26"/>
      <c r="D751" s="26"/>
      <c r="E751" s="26"/>
      <c r="F751" s="26"/>
      <c r="G751" s="26"/>
      <c r="H751" s="26"/>
      <c r="I751" s="26">
        <f>ROUND(PRODUCT(C751:H751),2)</f>
        <v>0</v>
      </c>
      <c r="J751" s="15"/>
      <c r="K751" s="28"/>
      <c r="L751" s="13"/>
      <c r="M751" s="13"/>
    </row>
    <row r="752" spans="1:13" ht="15" hidden="1" customHeight="1" x14ac:dyDescent="0.4">
      <c r="A752" s="41"/>
      <c r="B752" s="42"/>
      <c r="C752" s="26"/>
      <c r="D752" s="26"/>
      <c r="E752" s="26"/>
      <c r="F752" s="26"/>
      <c r="G752" s="26"/>
      <c r="H752" s="26"/>
      <c r="I752" s="26">
        <f>ROUND(PRODUCT(C752:H752),2)</f>
        <v>0</v>
      </c>
      <c r="L752" s="13"/>
      <c r="M752" s="13"/>
    </row>
    <row r="753" spans="1:13" ht="15" customHeight="1" x14ac:dyDescent="0.4">
      <c r="A753" s="3"/>
      <c r="B753" s="3"/>
      <c r="C753" s="20"/>
      <c r="D753" s="20"/>
      <c r="E753" s="20"/>
      <c r="F753" s="20"/>
      <c r="G753" s="20"/>
      <c r="H753" s="19" t="str">
        <f>MASTER!$C108</f>
        <v>H</v>
      </c>
      <c r="I753" s="19">
        <f>ROUND(SUM(I750:I752),2)</f>
        <v>350</v>
      </c>
      <c r="J753" s="16"/>
      <c r="K753" s="29"/>
      <c r="L753" s="13"/>
      <c r="M753" s="13"/>
    </row>
    <row r="754" spans="1:13" ht="15" customHeight="1" x14ac:dyDescent="0.4">
      <c r="A754" s="21"/>
      <c r="B754" s="21"/>
      <c r="C754" s="25"/>
      <c r="D754" s="25"/>
      <c r="E754" s="25"/>
      <c r="F754" s="25"/>
      <c r="G754" s="25"/>
      <c r="H754" s="25"/>
      <c r="I754" s="25"/>
    </row>
    <row r="755" spans="1:13" ht="27" customHeight="1" x14ac:dyDescent="0.4">
      <c r="A755" s="4" t="str">
        <f>MASTER!$A109</f>
        <v>02-01-01-018 O H</v>
      </c>
      <c r="B755" s="43" t="str">
        <f>MASTER!$B109</f>
        <v>ADICIONAL DE HORA EXTRA AOS SµBADOS 70%- AJUDANTE ESPECIALIZADO COM ENCARGOSCOMPLEMENTARESCS:88243</v>
      </c>
      <c r="C755" s="44"/>
      <c r="D755" s="44"/>
      <c r="E755" s="44"/>
      <c r="F755" s="44"/>
      <c r="G755" s="44"/>
      <c r="H755" s="44"/>
      <c r="I755" s="45"/>
      <c r="J755" s="15">
        <f>MASTER!$D109</f>
        <v>350</v>
      </c>
      <c r="K755" s="27" t="str">
        <f>IF(I760&lt;&gt;J755, "ERRO", "OK")</f>
        <v>OK</v>
      </c>
    </row>
    <row r="756" spans="1:13" s="2" customFormat="1" ht="14.25" customHeight="1" x14ac:dyDescent="0.25">
      <c r="A756" s="46" t="s">
        <v>1</v>
      </c>
      <c r="B756" s="46"/>
      <c r="C756" s="18" t="s">
        <v>4</v>
      </c>
      <c r="D756" s="18" t="s">
        <v>2</v>
      </c>
      <c r="E756" s="18" t="s">
        <v>3</v>
      </c>
      <c r="F756" s="18" t="s">
        <v>5</v>
      </c>
      <c r="G756" s="18" t="s">
        <v>11</v>
      </c>
      <c r="H756" s="18" t="s">
        <v>12</v>
      </c>
      <c r="I756" s="18" t="s">
        <v>0</v>
      </c>
      <c r="J756" s="15"/>
      <c r="K756" s="27"/>
    </row>
    <row r="757" spans="1:13" s="2" customFormat="1" ht="14.25" customHeight="1" x14ac:dyDescent="0.25">
      <c r="A757" s="41"/>
      <c r="B757" s="42"/>
      <c r="C757" s="26"/>
      <c r="D757" s="26"/>
      <c r="E757" s="26"/>
      <c r="F757" s="26">
        <v>350</v>
      </c>
      <c r="G757" s="26"/>
      <c r="H757" s="26"/>
      <c r="I757" s="26">
        <f>ROUND(PRODUCT(C757:H757),2)</f>
        <v>350</v>
      </c>
      <c r="J757" s="15"/>
      <c r="K757" s="27"/>
    </row>
    <row r="758" spans="1:13" s="2" customFormat="1" ht="14.25" hidden="1" customHeight="1" x14ac:dyDescent="0.25">
      <c r="A758" s="41"/>
      <c r="B758" s="42"/>
      <c r="C758" s="26"/>
      <c r="D758" s="26"/>
      <c r="E758" s="26"/>
      <c r="F758" s="26"/>
      <c r="G758" s="26"/>
      <c r="H758" s="26"/>
      <c r="I758" s="26">
        <f>ROUND(PRODUCT(C758:H758),2)</f>
        <v>0</v>
      </c>
      <c r="J758" s="15"/>
      <c r="K758" s="27"/>
    </row>
    <row r="759" spans="1:13" ht="15" hidden="1" customHeight="1" x14ac:dyDescent="0.4">
      <c r="A759" s="41"/>
      <c r="B759" s="42"/>
      <c r="C759" s="26"/>
      <c r="D759" s="26"/>
      <c r="E759" s="26"/>
      <c r="F759" s="26"/>
      <c r="G759" s="26"/>
      <c r="H759" s="26"/>
      <c r="I759" s="26">
        <f>ROUND(PRODUCT(C759:H759),2)</f>
        <v>0</v>
      </c>
      <c r="K759" s="27"/>
    </row>
    <row r="760" spans="1:13" ht="15" customHeight="1" x14ac:dyDescent="0.4">
      <c r="A760" s="3"/>
      <c r="B760" s="3"/>
      <c r="C760" s="20"/>
      <c r="D760" s="20"/>
      <c r="E760" s="20"/>
      <c r="F760" s="20"/>
      <c r="G760" s="20"/>
      <c r="H760" s="19" t="str">
        <f>MASTER!$C109</f>
        <v>H</v>
      </c>
      <c r="I760" s="19">
        <f>ROUND(SUM(I757:I759),2)</f>
        <v>350</v>
      </c>
      <c r="J760" s="16"/>
      <c r="K760" s="27"/>
      <c r="L760" s="13"/>
      <c r="M760" s="13"/>
    </row>
    <row r="761" spans="1:13" ht="15" customHeight="1" x14ac:dyDescent="0.4">
      <c r="A761" s="21"/>
      <c r="B761" s="21"/>
      <c r="C761" s="25"/>
      <c r="D761" s="25"/>
      <c r="E761" s="25"/>
      <c r="F761" s="25"/>
      <c r="G761" s="25"/>
      <c r="H761" s="25"/>
      <c r="I761" s="25"/>
      <c r="K761" s="27"/>
      <c r="L761" s="13"/>
      <c r="M761" s="13"/>
    </row>
    <row r="762" spans="1:13" ht="27" customHeight="1" x14ac:dyDescent="0.4">
      <c r="A762" s="4" t="str">
        <f>MASTER!$A110</f>
        <v>02-01-01-001 O H</v>
      </c>
      <c r="B762" s="43" t="str">
        <f>MASTER!$B110</f>
        <v>ADICIONAL DE HORA EXTRA AOS DOMINGOS EFERIADOS DE 110% - PEDREIRO COM ENCARGOSCOMPLEMENTARES  CS:88309</v>
      </c>
      <c r="C762" s="44"/>
      <c r="D762" s="44"/>
      <c r="E762" s="44"/>
      <c r="F762" s="44"/>
      <c r="G762" s="44"/>
      <c r="H762" s="44"/>
      <c r="I762" s="45"/>
      <c r="J762" s="15">
        <f>MASTER!$D110</f>
        <v>350</v>
      </c>
      <c r="K762" s="27" t="str">
        <f>IF(I767&lt;&gt;J762, "ERRO", "OK")</f>
        <v>OK</v>
      </c>
      <c r="L762" s="13"/>
      <c r="M762" s="13"/>
    </row>
    <row r="763" spans="1:13" s="2" customFormat="1" ht="14.25" customHeight="1" x14ac:dyDescent="0.25">
      <c r="A763" s="46" t="s">
        <v>1</v>
      </c>
      <c r="B763" s="46"/>
      <c r="C763" s="18" t="s">
        <v>4</v>
      </c>
      <c r="D763" s="18" t="s">
        <v>2</v>
      </c>
      <c r="E763" s="18" t="s">
        <v>3</v>
      </c>
      <c r="F763" s="18" t="s">
        <v>5</v>
      </c>
      <c r="G763" s="18" t="s">
        <v>11</v>
      </c>
      <c r="H763" s="18" t="s">
        <v>12</v>
      </c>
      <c r="I763" s="18" t="s">
        <v>0</v>
      </c>
      <c r="J763" s="15"/>
      <c r="K763" s="27"/>
      <c r="L763" s="13"/>
      <c r="M763" s="13"/>
    </row>
    <row r="764" spans="1:13" s="2" customFormat="1" ht="14.25" customHeight="1" x14ac:dyDescent="0.25">
      <c r="A764" s="41"/>
      <c r="B764" s="42"/>
      <c r="C764" s="26"/>
      <c r="D764" s="26"/>
      <c r="E764" s="26"/>
      <c r="F764" s="26">
        <v>350</v>
      </c>
      <c r="G764" s="26"/>
      <c r="H764" s="26"/>
      <c r="I764" s="26">
        <f>ROUND(PRODUCT(C764:H764),2)</f>
        <v>350</v>
      </c>
      <c r="J764" s="15"/>
      <c r="K764" s="27"/>
      <c r="L764" s="13"/>
      <c r="M764" s="13"/>
    </row>
    <row r="765" spans="1:13" s="2" customFormat="1" ht="14.25" hidden="1" customHeight="1" x14ac:dyDescent="0.4">
      <c r="A765" s="41"/>
      <c r="B765" s="42"/>
      <c r="C765" s="26"/>
      <c r="D765" s="26"/>
      <c r="E765" s="26"/>
      <c r="F765" s="26"/>
      <c r="G765" s="26"/>
      <c r="H765" s="26"/>
      <c r="I765" s="26">
        <f>ROUND(PRODUCT(C765:H765),2)</f>
        <v>0</v>
      </c>
      <c r="J765" s="15"/>
      <c r="K765" s="28"/>
      <c r="L765" s="13"/>
      <c r="M765" s="13"/>
    </row>
    <row r="766" spans="1:13" ht="15" hidden="1" customHeight="1" x14ac:dyDescent="0.4">
      <c r="A766" s="41"/>
      <c r="B766" s="42"/>
      <c r="C766" s="26"/>
      <c r="D766" s="26"/>
      <c r="E766" s="26"/>
      <c r="F766" s="26"/>
      <c r="G766" s="26"/>
      <c r="H766" s="26"/>
      <c r="I766" s="26">
        <f>ROUND(PRODUCT(C766:H766),2)</f>
        <v>0</v>
      </c>
      <c r="L766" s="13"/>
      <c r="M766" s="13"/>
    </row>
    <row r="767" spans="1:13" ht="15" customHeight="1" x14ac:dyDescent="0.4">
      <c r="A767" s="3"/>
      <c r="B767" s="3"/>
      <c r="C767" s="20"/>
      <c r="D767" s="20"/>
      <c r="E767" s="20"/>
      <c r="F767" s="20"/>
      <c r="G767" s="20"/>
      <c r="H767" s="19" t="str">
        <f>MASTER!$C110</f>
        <v>H</v>
      </c>
      <c r="I767" s="19">
        <f>ROUND(SUM(I764:I766),2)</f>
        <v>350</v>
      </c>
      <c r="J767" s="16"/>
      <c r="K767" s="29"/>
      <c r="L767" s="13"/>
      <c r="M767" s="13"/>
    </row>
    <row r="768" spans="1:13" ht="15" customHeight="1" x14ac:dyDescent="0.4">
      <c r="A768" s="21"/>
      <c r="B768" s="21"/>
      <c r="C768" s="25"/>
      <c r="D768" s="25"/>
      <c r="E768" s="25"/>
      <c r="F768" s="25"/>
      <c r="G768" s="25"/>
      <c r="H768" s="25"/>
      <c r="I768" s="25"/>
    </row>
    <row r="769" spans="1:13" ht="23.25" customHeight="1" x14ac:dyDescent="0.4">
      <c r="A769" s="4" t="str">
        <f>MASTER!$A111</f>
        <v>02-01-01-017 O H</v>
      </c>
      <c r="B769" s="43" t="str">
        <f>MASTER!$B111</f>
        <v>ADICIONAL DE HORA EXTRA AOS SµBADOS 70%- PEDREIRO COM ENCARGOS COMPLEMENTARESCS:88309</v>
      </c>
      <c r="C769" s="44"/>
      <c r="D769" s="44"/>
      <c r="E769" s="44"/>
      <c r="F769" s="44"/>
      <c r="G769" s="44"/>
      <c r="H769" s="44"/>
      <c r="I769" s="45"/>
      <c r="J769" s="15">
        <f>MASTER!$D111</f>
        <v>350</v>
      </c>
      <c r="K769" s="27" t="str">
        <f>IF(I774&lt;&gt;J769, "ERRO", "OK")</f>
        <v>OK</v>
      </c>
    </row>
    <row r="770" spans="1:13" s="2" customFormat="1" ht="14.25" customHeight="1" x14ac:dyDescent="0.25">
      <c r="A770" s="46" t="s">
        <v>1</v>
      </c>
      <c r="B770" s="46"/>
      <c r="C770" s="18" t="s">
        <v>4</v>
      </c>
      <c r="D770" s="18" t="s">
        <v>2</v>
      </c>
      <c r="E770" s="18" t="s">
        <v>3</v>
      </c>
      <c r="F770" s="18" t="s">
        <v>5</v>
      </c>
      <c r="G770" s="18" t="s">
        <v>11</v>
      </c>
      <c r="H770" s="18" t="s">
        <v>12</v>
      </c>
      <c r="I770" s="18" t="s">
        <v>0</v>
      </c>
      <c r="J770" s="15"/>
      <c r="K770" s="27"/>
    </row>
    <row r="771" spans="1:13" s="2" customFormat="1" ht="14.25" customHeight="1" x14ac:dyDescent="0.25">
      <c r="A771" s="41"/>
      <c r="B771" s="42"/>
      <c r="C771" s="26"/>
      <c r="D771" s="26"/>
      <c r="E771" s="26"/>
      <c r="F771" s="26">
        <v>350</v>
      </c>
      <c r="G771" s="26"/>
      <c r="H771" s="26"/>
      <c r="I771" s="26">
        <f>ROUND(PRODUCT(C771:H771),2)</f>
        <v>350</v>
      </c>
      <c r="J771" s="15"/>
      <c r="K771" s="27"/>
    </row>
    <row r="772" spans="1:13" s="2" customFormat="1" ht="14.25" hidden="1" customHeight="1" x14ac:dyDescent="0.25">
      <c r="A772" s="41"/>
      <c r="B772" s="42"/>
      <c r="C772" s="26"/>
      <c r="D772" s="26"/>
      <c r="E772" s="26"/>
      <c r="F772" s="26"/>
      <c r="G772" s="26"/>
      <c r="H772" s="26"/>
      <c r="I772" s="26">
        <f>ROUND(PRODUCT(C772:H772),2)</f>
        <v>0</v>
      </c>
      <c r="J772" s="15"/>
      <c r="K772" s="27"/>
    </row>
    <row r="773" spans="1:13" ht="15" hidden="1" customHeight="1" x14ac:dyDescent="0.4">
      <c r="A773" s="41"/>
      <c r="B773" s="42"/>
      <c r="C773" s="26"/>
      <c r="D773" s="26"/>
      <c r="E773" s="26"/>
      <c r="F773" s="26"/>
      <c r="G773" s="26"/>
      <c r="H773" s="26"/>
      <c r="I773" s="26">
        <f>ROUND(PRODUCT(C773:H773),2)</f>
        <v>0</v>
      </c>
      <c r="K773" s="27"/>
    </row>
    <row r="774" spans="1:13" ht="15" customHeight="1" x14ac:dyDescent="0.4">
      <c r="A774" s="3"/>
      <c r="B774" s="3"/>
      <c r="C774" s="20"/>
      <c r="D774" s="20"/>
      <c r="E774" s="20"/>
      <c r="F774" s="20"/>
      <c r="G774" s="20"/>
      <c r="H774" s="19" t="str">
        <f>MASTER!$C111</f>
        <v>H</v>
      </c>
      <c r="I774" s="19">
        <f>ROUND(SUM(I771:I773),2)</f>
        <v>350</v>
      </c>
      <c r="J774" s="16"/>
      <c r="K774" s="27"/>
      <c r="L774" s="13"/>
      <c r="M774" s="13"/>
    </row>
    <row r="775" spans="1:13" ht="15" customHeight="1" x14ac:dyDescent="0.4">
      <c r="A775" s="21"/>
      <c r="B775" s="21"/>
      <c r="C775" s="25"/>
      <c r="D775" s="25"/>
      <c r="E775" s="25"/>
      <c r="F775" s="25"/>
      <c r="G775" s="25"/>
      <c r="H775" s="25"/>
      <c r="I775" s="25"/>
      <c r="K775" s="27"/>
      <c r="L775" s="13"/>
      <c r="M775" s="13"/>
    </row>
    <row r="776" spans="1:13" ht="27" customHeight="1" x14ac:dyDescent="0.4">
      <c r="A776" s="4" t="str">
        <f>MASTER!$A112</f>
        <v>02-01-01-010 O H</v>
      </c>
      <c r="B776" s="43" t="str">
        <f>MASTER!$B112</f>
        <v>ADICIONAL DE HORA EXTRA AOS DOMINGOS EFERIADOS DE 110% - ELETRICISTA COM ENCARGOS COMPLEMENTARES  CS:88264</v>
      </c>
      <c r="C776" s="44"/>
      <c r="D776" s="44"/>
      <c r="E776" s="44"/>
      <c r="F776" s="44"/>
      <c r="G776" s="44"/>
      <c r="H776" s="44"/>
      <c r="I776" s="45"/>
      <c r="J776" s="15">
        <f>MASTER!$D112</f>
        <v>350</v>
      </c>
      <c r="K776" s="27" t="str">
        <f>IF(I781&lt;&gt;J776, "ERRO", "OK")</f>
        <v>OK</v>
      </c>
      <c r="L776" s="13"/>
      <c r="M776" s="13"/>
    </row>
    <row r="777" spans="1:13" s="2" customFormat="1" ht="14.25" customHeight="1" x14ac:dyDescent="0.25">
      <c r="A777" s="46" t="s">
        <v>1</v>
      </c>
      <c r="B777" s="46"/>
      <c r="C777" s="18" t="s">
        <v>4</v>
      </c>
      <c r="D777" s="18" t="s">
        <v>2</v>
      </c>
      <c r="E777" s="18" t="s">
        <v>3</v>
      </c>
      <c r="F777" s="18" t="s">
        <v>5</v>
      </c>
      <c r="G777" s="18" t="s">
        <v>11</v>
      </c>
      <c r="H777" s="18" t="s">
        <v>12</v>
      </c>
      <c r="I777" s="18" t="s">
        <v>0</v>
      </c>
      <c r="J777" s="15"/>
      <c r="K777" s="27"/>
      <c r="L777" s="13"/>
      <c r="M777" s="13"/>
    </row>
    <row r="778" spans="1:13" s="2" customFormat="1" ht="14.25" customHeight="1" x14ac:dyDescent="0.25">
      <c r="A778" s="41"/>
      <c r="B778" s="42"/>
      <c r="C778" s="26"/>
      <c r="D778" s="26"/>
      <c r="E778" s="26"/>
      <c r="F778" s="26">
        <v>350</v>
      </c>
      <c r="G778" s="26"/>
      <c r="H778" s="26"/>
      <c r="I778" s="26">
        <f>ROUND(PRODUCT(C778:H778),2)</f>
        <v>350</v>
      </c>
      <c r="J778" s="15"/>
      <c r="K778" s="27"/>
      <c r="L778" s="13"/>
      <c r="M778" s="13"/>
    </row>
    <row r="779" spans="1:13" s="2" customFormat="1" ht="14.25" hidden="1" customHeight="1" x14ac:dyDescent="0.4">
      <c r="A779" s="41"/>
      <c r="B779" s="42"/>
      <c r="C779" s="26"/>
      <c r="D779" s="26"/>
      <c r="E779" s="26"/>
      <c r="F779" s="26"/>
      <c r="G779" s="26"/>
      <c r="H779" s="26"/>
      <c r="I779" s="26">
        <f>ROUND(PRODUCT(C779:H779),2)</f>
        <v>0</v>
      </c>
      <c r="J779" s="15"/>
      <c r="K779" s="28"/>
      <c r="L779" s="13"/>
      <c r="M779" s="13"/>
    </row>
    <row r="780" spans="1:13" ht="15" hidden="1" customHeight="1" x14ac:dyDescent="0.4">
      <c r="A780" s="41"/>
      <c r="B780" s="42"/>
      <c r="C780" s="26"/>
      <c r="D780" s="26"/>
      <c r="E780" s="26"/>
      <c r="F780" s="26"/>
      <c r="G780" s="26"/>
      <c r="H780" s="26"/>
      <c r="I780" s="26">
        <f>ROUND(PRODUCT(C780:H780),2)</f>
        <v>0</v>
      </c>
      <c r="L780" s="13"/>
      <c r="M780" s="13"/>
    </row>
    <row r="781" spans="1:13" ht="15" customHeight="1" x14ac:dyDescent="0.4">
      <c r="A781" s="3"/>
      <c r="B781" s="3"/>
      <c r="C781" s="20"/>
      <c r="D781" s="20"/>
      <c r="E781" s="20"/>
      <c r="F781" s="20"/>
      <c r="G781" s="20"/>
      <c r="H781" s="19" t="str">
        <f>MASTER!$C112</f>
        <v>H</v>
      </c>
      <c r="I781" s="19">
        <f>ROUND(SUM(I778:I780),2)</f>
        <v>350</v>
      </c>
      <c r="J781" s="16"/>
      <c r="K781" s="29"/>
      <c r="L781" s="13"/>
      <c r="M781" s="13"/>
    </row>
    <row r="782" spans="1:13" ht="15" customHeight="1" x14ac:dyDescent="0.4">
      <c r="A782" s="21"/>
      <c r="B782" s="21"/>
      <c r="C782" s="25"/>
      <c r="D782" s="25"/>
      <c r="E782" s="25"/>
      <c r="F782" s="25"/>
      <c r="G782" s="25"/>
      <c r="H782" s="25"/>
      <c r="I782" s="25"/>
    </row>
    <row r="783" spans="1:13" ht="23.25" customHeight="1" x14ac:dyDescent="0.4">
      <c r="A783" s="4" t="str">
        <f>MASTER!$A113</f>
        <v>02-01-01-024 O H</v>
      </c>
      <c r="B783" s="43" t="str">
        <f>MASTER!$B113</f>
        <v>ADICIONAL DE HORA EXTRA AOS SµBADOS 70%-ELETRICISTA COM ENCARGOS COMPLEMENTARESCS:88264</v>
      </c>
      <c r="C783" s="44"/>
      <c r="D783" s="44"/>
      <c r="E783" s="44"/>
      <c r="F783" s="44"/>
      <c r="G783" s="44"/>
      <c r="H783" s="44"/>
      <c r="I783" s="45"/>
      <c r="J783" s="15">
        <f>MASTER!$D113</f>
        <v>350</v>
      </c>
      <c r="K783" s="27" t="str">
        <f>IF(I788&lt;&gt;J783, "ERRO", "OK")</f>
        <v>OK</v>
      </c>
    </row>
    <row r="784" spans="1:13" s="2" customFormat="1" ht="14.25" customHeight="1" x14ac:dyDescent="0.25">
      <c r="A784" s="46" t="s">
        <v>1</v>
      </c>
      <c r="B784" s="46"/>
      <c r="C784" s="18" t="s">
        <v>4</v>
      </c>
      <c r="D784" s="18" t="s">
        <v>2</v>
      </c>
      <c r="E784" s="18" t="s">
        <v>3</v>
      </c>
      <c r="F784" s="18" t="s">
        <v>5</v>
      </c>
      <c r="G784" s="18" t="s">
        <v>11</v>
      </c>
      <c r="H784" s="18" t="s">
        <v>12</v>
      </c>
      <c r="I784" s="18" t="s">
        <v>0</v>
      </c>
      <c r="J784" s="15"/>
      <c r="K784" s="27"/>
    </row>
    <row r="785" spans="1:13" s="2" customFormat="1" ht="14.25" customHeight="1" x14ac:dyDescent="0.25">
      <c r="A785" s="41"/>
      <c r="B785" s="42"/>
      <c r="C785" s="26"/>
      <c r="D785" s="26"/>
      <c r="E785" s="26"/>
      <c r="F785" s="26">
        <v>350</v>
      </c>
      <c r="G785" s="26"/>
      <c r="H785" s="26"/>
      <c r="I785" s="26">
        <f>ROUND(PRODUCT(C785:H785),2)</f>
        <v>350</v>
      </c>
      <c r="J785" s="15"/>
      <c r="K785" s="27"/>
    </row>
    <row r="786" spans="1:13" s="2" customFormat="1" ht="14.25" hidden="1" customHeight="1" x14ac:dyDescent="0.25">
      <c r="A786" s="41"/>
      <c r="B786" s="42"/>
      <c r="C786" s="26"/>
      <c r="D786" s="26"/>
      <c r="E786" s="26"/>
      <c r="F786" s="26"/>
      <c r="G786" s="26"/>
      <c r="H786" s="26"/>
      <c r="I786" s="26">
        <f>ROUND(PRODUCT(C786:H786),2)</f>
        <v>0</v>
      </c>
      <c r="J786" s="15"/>
      <c r="K786" s="27"/>
    </row>
    <row r="787" spans="1:13" ht="15" hidden="1" customHeight="1" x14ac:dyDescent="0.4">
      <c r="A787" s="41"/>
      <c r="B787" s="42"/>
      <c r="C787" s="26"/>
      <c r="D787" s="26"/>
      <c r="E787" s="26"/>
      <c r="F787" s="26"/>
      <c r="G787" s="26"/>
      <c r="H787" s="26"/>
      <c r="I787" s="26">
        <f>ROUND(PRODUCT(C787:H787),2)</f>
        <v>0</v>
      </c>
      <c r="K787" s="27"/>
    </row>
    <row r="788" spans="1:13" ht="15" customHeight="1" x14ac:dyDescent="0.4">
      <c r="A788" s="3"/>
      <c r="B788" s="3"/>
      <c r="C788" s="20"/>
      <c r="D788" s="20"/>
      <c r="E788" s="20"/>
      <c r="F788" s="20"/>
      <c r="G788" s="20"/>
      <c r="H788" s="19" t="str">
        <f>MASTER!$C113</f>
        <v>H</v>
      </c>
      <c r="I788" s="19">
        <f>ROUND(SUM(I785:I787),2)</f>
        <v>350</v>
      </c>
      <c r="J788" s="16"/>
      <c r="K788" s="27"/>
      <c r="L788" s="13"/>
      <c r="M788" s="13"/>
    </row>
    <row r="789" spans="1:13" ht="15" customHeight="1" x14ac:dyDescent="0.4">
      <c r="A789" s="21"/>
      <c r="B789" s="21"/>
      <c r="C789" s="25"/>
      <c r="D789" s="25"/>
      <c r="E789" s="25"/>
      <c r="F789" s="25"/>
      <c r="G789" s="25"/>
      <c r="H789" s="25"/>
      <c r="I789" s="25"/>
      <c r="K789" s="27"/>
      <c r="L789" s="13"/>
      <c r="M789" s="13"/>
    </row>
    <row r="790" spans="1:13" ht="23.25" customHeight="1" x14ac:dyDescent="0.4">
      <c r="A790" s="40">
        <f>MASTER!$A114</f>
        <v>2</v>
      </c>
      <c r="B790" s="47" t="str">
        <f>MASTER!$B114</f>
        <v>TAXA ADMINISTRATIVA</v>
      </c>
      <c r="C790" s="48"/>
      <c r="D790" s="48"/>
      <c r="E790" s="48"/>
      <c r="F790" s="48"/>
      <c r="G790" s="48"/>
      <c r="H790" s="48"/>
      <c r="I790" s="49"/>
      <c r="J790" s="15">
        <f>MASTER!$D114</f>
        <v>0</v>
      </c>
      <c r="K790" s="27" t="str">
        <f>IF(I795&lt;&gt;J790, "ERRO", "OK")</f>
        <v>OK</v>
      </c>
      <c r="L790" s="13"/>
      <c r="M790" s="13"/>
    </row>
    <row r="791" spans="1:13" s="2" customFormat="1" ht="14.25" hidden="1" customHeight="1" x14ac:dyDescent="0.25">
      <c r="A791" s="46" t="s">
        <v>1</v>
      </c>
      <c r="B791" s="46"/>
      <c r="C791" s="18" t="s">
        <v>4</v>
      </c>
      <c r="D791" s="18" t="s">
        <v>2</v>
      </c>
      <c r="E791" s="18" t="s">
        <v>3</v>
      </c>
      <c r="F791" s="18" t="s">
        <v>5</v>
      </c>
      <c r="G791" s="18" t="s">
        <v>11</v>
      </c>
      <c r="H791" s="18" t="s">
        <v>12</v>
      </c>
      <c r="I791" s="18" t="s">
        <v>0</v>
      </c>
      <c r="J791" s="15"/>
      <c r="K791" s="27"/>
      <c r="L791" s="13"/>
      <c r="M791" s="13"/>
    </row>
    <row r="792" spans="1:13" s="2" customFormat="1" ht="14.25" hidden="1" customHeight="1" x14ac:dyDescent="0.25">
      <c r="A792" s="41"/>
      <c r="B792" s="42"/>
      <c r="C792" s="26"/>
      <c r="D792" s="26"/>
      <c r="E792" s="26"/>
      <c r="F792" s="26"/>
      <c r="G792" s="26"/>
      <c r="H792" s="26"/>
      <c r="I792" s="26">
        <f>ROUND(PRODUCT(C792:H792),2)</f>
        <v>0</v>
      </c>
      <c r="J792" s="15"/>
      <c r="K792" s="27"/>
      <c r="L792" s="13"/>
      <c r="M792" s="13"/>
    </row>
    <row r="793" spans="1:13" s="2" customFormat="1" ht="14.25" hidden="1" customHeight="1" x14ac:dyDescent="0.4">
      <c r="A793" s="41"/>
      <c r="B793" s="42"/>
      <c r="C793" s="26"/>
      <c r="D793" s="26"/>
      <c r="E793" s="26"/>
      <c r="F793" s="26"/>
      <c r="G793" s="26"/>
      <c r="H793" s="26"/>
      <c r="I793" s="26">
        <f>ROUND(PRODUCT(C793:H793),2)</f>
        <v>0</v>
      </c>
      <c r="J793" s="15"/>
      <c r="K793" s="28"/>
      <c r="L793" s="13"/>
      <c r="M793" s="13"/>
    </row>
    <row r="794" spans="1:13" ht="15" hidden="1" customHeight="1" x14ac:dyDescent="0.4">
      <c r="A794" s="41"/>
      <c r="B794" s="42"/>
      <c r="C794" s="26"/>
      <c r="D794" s="26"/>
      <c r="E794" s="26"/>
      <c r="F794" s="26"/>
      <c r="G794" s="26"/>
      <c r="H794" s="26"/>
      <c r="I794" s="26">
        <f>ROUND(PRODUCT(C794:H794),2)</f>
        <v>0</v>
      </c>
      <c r="L794" s="13"/>
      <c r="M794" s="13"/>
    </row>
    <row r="795" spans="1:13" ht="15" hidden="1" customHeight="1" x14ac:dyDescent="0.4">
      <c r="A795" s="3"/>
      <c r="B795" s="3"/>
      <c r="C795" s="20"/>
      <c r="D795" s="20"/>
      <c r="E795" s="20"/>
      <c r="F795" s="20"/>
      <c r="G795" s="20"/>
      <c r="H795" s="19">
        <f>MASTER!$C114</f>
        <v>0</v>
      </c>
      <c r="I795" s="19">
        <f>ROUND(SUM(I792:I794),2)</f>
        <v>0</v>
      </c>
      <c r="J795" s="16"/>
      <c r="K795" s="29"/>
      <c r="L795" s="13"/>
      <c r="M795" s="13"/>
    </row>
    <row r="796" spans="1:13" ht="15" hidden="1" customHeight="1" x14ac:dyDescent="0.4">
      <c r="A796" s="21"/>
      <c r="B796" s="21"/>
      <c r="C796" s="25"/>
      <c r="D796" s="25"/>
      <c r="E796" s="25"/>
      <c r="F796" s="25"/>
      <c r="G796" s="25"/>
      <c r="H796" s="25"/>
      <c r="I796" s="25"/>
    </row>
    <row r="797" spans="1:13" ht="23.25" customHeight="1" x14ac:dyDescent="0.4">
      <c r="A797" s="40" t="str">
        <f>MASTER!$A115</f>
        <v>002-001</v>
      </c>
      <c r="B797" s="47" t="str">
        <f>MASTER!$B115</f>
        <v>TAXA</v>
      </c>
      <c r="C797" s="48"/>
      <c r="D797" s="48"/>
      <c r="E797" s="48"/>
      <c r="F797" s="48"/>
      <c r="G797" s="48"/>
      <c r="H797" s="48"/>
      <c r="I797" s="49"/>
      <c r="J797" s="15">
        <f>MASTER!$D115</f>
        <v>0</v>
      </c>
      <c r="K797" s="27" t="str">
        <f>IF(I802&lt;&gt;J797, "ERRO", "OK")</f>
        <v>OK</v>
      </c>
    </row>
    <row r="798" spans="1:13" s="2" customFormat="1" ht="14.25" hidden="1" customHeight="1" x14ac:dyDescent="0.25">
      <c r="A798" s="46" t="s">
        <v>1</v>
      </c>
      <c r="B798" s="46"/>
      <c r="C798" s="18" t="s">
        <v>4</v>
      </c>
      <c r="D798" s="18" t="s">
        <v>2</v>
      </c>
      <c r="E798" s="18" t="s">
        <v>3</v>
      </c>
      <c r="F798" s="18" t="s">
        <v>5</v>
      </c>
      <c r="G798" s="18" t="s">
        <v>11</v>
      </c>
      <c r="H798" s="18" t="s">
        <v>12</v>
      </c>
      <c r="I798" s="18" t="s">
        <v>0</v>
      </c>
      <c r="J798" s="15"/>
      <c r="K798" s="27"/>
    </row>
    <row r="799" spans="1:13" s="2" customFormat="1" ht="14.25" hidden="1" customHeight="1" x14ac:dyDescent="0.25">
      <c r="A799" s="41"/>
      <c r="B799" s="42"/>
      <c r="C799" s="26"/>
      <c r="D799" s="26"/>
      <c r="E799" s="26"/>
      <c r="F799" s="26"/>
      <c r="G799" s="26"/>
      <c r="H799" s="26"/>
      <c r="I799" s="26">
        <f>ROUND(PRODUCT(C799:H799),2)</f>
        <v>0</v>
      </c>
      <c r="J799" s="15"/>
      <c r="K799" s="27"/>
    </row>
    <row r="800" spans="1:13" s="2" customFormat="1" ht="14.25" hidden="1" customHeight="1" x14ac:dyDescent="0.25">
      <c r="A800" s="41"/>
      <c r="B800" s="42"/>
      <c r="C800" s="26"/>
      <c r="D800" s="26"/>
      <c r="E800" s="26"/>
      <c r="F800" s="26"/>
      <c r="G800" s="26"/>
      <c r="H800" s="26"/>
      <c r="I800" s="26">
        <f>ROUND(PRODUCT(C800:H800),2)</f>
        <v>0</v>
      </c>
      <c r="J800" s="15"/>
      <c r="K800" s="27"/>
    </row>
    <row r="801" spans="1:13" ht="15" hidden="1" customHeight="1" x14ac:dyDescent="0.4">
      <c r="A801" s="41"/>
      <c r="B801" s="42"/>
      <c r="C801" s="26"/>
      <c r="D801" s="26"/>
      <c r="E801" s="26"/>
      <c r="F801" s="26"/>
      <c r="G801" s="26"/>
      <c r="H801" s="26"/>
      <c r="I801" s="26">
        <f>ROUND(PRODUCT(C801:H801),2)</f>
        <v>0</v>
      </c>
      <c r="K801" s="27"/>
    </row>
    <row r="802" spans="1:13" ht="15" hidden="1" customHeight="1" x14ac:dyDescent="0.4">
      <c r="A802" s="3"/>
      <c r="B802" s="3"/>
      <c r="C802" s="20"/>
      <c r="D802" s="20"/>
      <c r="E802" s="20"/>
      <c r="F802" s="20"/>
      <c r="G802" s="20"/>
      <c r="H802" s="19">
        <f>MASTER!$C115</f>
        <v>0</v>
      </c>
      <c r="I802" s="19">
        <f>ROUND(SUM(I799:I801),2)</f>
        <v>0</v>
      </c>
      <c r="J802" s="16"/>
      <c r="K802" s="27"/>
      <c r="L802" s="13"/>
      <c r="M802" s="13"/>
    </row>
    <row r="803" spans="1:13" ht="15" hidden="1" customHeight="1" x14ac:dyDescent="0.4">
      <c r="A803" s="21"/>
      <c r="B803" s="21"/>
      <c r="C803" s="25"/>
      <c r="D803" s="25"/>
      <c r="E803" s="25"/>
      <c r="F803" s="25"/>
      <c r="G803" s="25"/>
      <c r="H803" s="25"/>
      <c r="I803" s="25"/>
      <c r="K803" s="27"/>
      <c r="L803" s="13"/>
      <c r="M803" s="13"/>
    </row>
    <row r="804" spans="1:13" ht="23.25" customHeight="1" x14ac:dyDescent="0.4">
      <c r="A804" s="4" t="str">
        <f>MASTER!$A116</f>
        <v>02-02-01-017 O H</v>
      </c>
      <c r="B804" s="43" t="str">
        <f>MASTER!$B116</f>
        <v>ADMINISTRA€ÇO LOCAL PARA O.S. ENTRER$ 380.000,01 A R$ 430.000,00</v>
      </c>
      <c r="C804" s="44"/>
      <c r="D804" s="44"/>
      <c r="E804" s="44"/>
      <c r="F804" s="44"/>
      <c r="G804" s="44"/>
      <c r="H804" s="44"/>
      <c r="I804" s="45"/>
      <c r="J804" s="15">
        <f>MASTER!$D116</f>
        <v>1</v>
      </c>
      <c r="K804" s="27" t="str">
        <f>IF(I809&lt;&gt;J804, "ERRO", "OK")</f>
        <v>OK</v>
      </c>
      <c r="L804" s="13"/>
      <c r="M804" s="13"/>
    </row>
    <row r="805" spans="1:13" s="2" customFormat="1" ht="14.25" customHeight="1" x14ac:dyDescent="0.25">
      <c r="A805" s="46" t="s">
        <v>1</v>
      </c>
      <c r="B805" s="46"/>
      <c r="C805" s="18" t="s">
        <v>4</v>
      </c>
      <c r="D805" s="18" t="s">
        <v>2</v>
      </c>
      <c r="E805" s="18" t="s">
        <v>3</v>
      </c>
      <c r="F805" s="18" t="s">
        <v>5</v>
      </c>
      <c r="G805" s="18" t="s">
        <v>11</v>
      </c>
      <c r="H805" s="18" t="s">
        <v>12</v>
      </c>
      <c r="I805" s="18" t="s">
        <v>0</v>
      </c>
      <c r="J805" s="15"/>
      <c r="K805" s="27"/>
      <c r="L805" s="13"/>
      <c r="M805" s="13"/>
    </row>
    <row r="806" spans="1:13" s="2" customFormat="1" ht="14.25" customHeight="1" x14ac:dyDescent="0.25">
      <c r="A806" s="41"/>
      <c r="B806" s="42"/>
      <c r="C806" s="26"/>
      <c r="D806" s="26"/>
      <c r="E806" s="26"/>
      <c r="F806" s="26">
        <v>1</v>
      </c>
      <c r="G806" s="26"/>
      <c r="H806" s="26"/>
      <c r="I806" s="26">
        <f>ROUND(PRODUCT(C806:H806),2)</f>
        <v>1</v>
      </c>
      <c r="J806" s="15"/>
      <c r="K806" s="27"/>
      <c r="L806" s="13"/>
      <c r="M806" s="13"/>
    </row>
    <row r="807" spans="1:13" s="2" customFormat="1" ht="14.25" hidden="1" customHeight="1" x14ac:dyDescent="0.4">
      <c r="A807" s="41"/>
      <c r="B807" s="42"/>
      <c r="C807" s="26"/>
      <c r="D807" s="26"/>
      <c r="E807" s="26"/>
      <c r="F807" s="26"/>
      <c r="G807" s="26"/>
      <c r="H807" s="26"/>
      <c r="I807" s="26">
        <f>ROUND(PRODUCT(C807:H807),2)</f>
        <v>0</v>
      </c>
      <c r="J807" s="15"/>
      <c r="K807" s="28"/>
      <c r="L807" s="13"/>
      <c r="M807" s="13"/>
    </row>
    <row r="808" spans="1:13" ht="15" hidden="1" customHeight="1" x14ac:dyDescent="0.4">
      <c r="A808" s="41"/>
      <c r="B808" s="42"/>
      <c r="C808" s="26"/>
      <c r="D808" s="26"/>
      <c r="E808" s="26"/>
      <c r="F808" s="26"/>
      <c r="G808" s="26"/>
      <c r="H808" s="26"/>
      <c r="I808" s="26">
        <f>ROUND(PRODUCT(C808:H808),2)</f>
        <v>0</v>
      </c>
      <c r="L808" s="13"/>
      <c r="M808" s="13"/>
    </row>
    <row r="809" spans="1:13" ht="15" customHeight="1" x14ac:dyDescent="0.4">
      <c r="A809" s="3"/>
      <c r="B809" s="3"/>
      <c r="C809" s="20"/>
      <c r="D809" s="20"/>
      <c r="E809" s="20"/>
      <c r="F809" s="20"/>
      <c r="G809" s="20"/>
      <c r="H809" s="19" t="str">
        <f>MASTER!$C116</f>
        <v>UN</v>
      </c>
      <c r="I809" s="19">
        <f>ROUND(SUM(I806:I808),2)</f>
        <v>1</v>
      </c>
      <c r="J809" s="16"/>
      <c r="K809" s="29"/>
      <c r="L809" s="13"/>
      <c r="M809" s="13"/>
    </row>
    <row r="810" spans="1:13" ht="15" customHeight="1" x14ac:dyDescent="0.4">
      <c r="A810" s="21"/>
      <c r="B810" s="21"/>
      <c r="C810" s="25"/>
      <c r="D810" s="25"/>
      <c r="E810" s="25"/>
      <c r="F810" s="25"/>
      <c r="G810" s="25"/>
      <c r="H810" s="25"/>
      <c r="I810" s="25"/>
    </row>
  </sheetData>
  <sheetProtection insertRows="0" deleteRows="0" selectLockedCells="1"/>
  <mergeCells count="576">
    <mergeCell ref="A87:B87"/>
    <mergeCell ref="B90:I90"/>
    <mergeCell ref="A282:B282"/>
    <mergeCell ref="A288:B288"/>
    <mergeCell ref="A289:B289"/>
    <mergeCell ref="A184:B184"/>
    <mergeCell ref="A190:B190"/>
    <mergeCell ref="A191:B191"/>
    <mergeCell ref="A197:B197"/>
    <mergeCell ref="A198:B198"/>
    <mergeCell ref="A204:B204"/>
    <mergeCell ref="A205:B205"/>
    <mergeCell ref="A211:B211"/>
    <mergeCell ref="A212:B212"/>
    <mergeCell ref="A218:B218"/>
    <mergeCell ref="A219:B219"/>
    <mergeCell ref="A225:B225"/>
    <mergeCell ref="A226:B226"/>
    <mergeCell ref="A232:B232"/>
    <mergeCell ref="A233:B233"/>
    <mergeCell ref="A86:B86"/>
    <mergeCell ref="A239:B239"/>
    <mergeCell ref="A240:B240"/>
    <mergeCell ref="A255:B255"/>
    <mergeCell ref="A252:B252"/>
    <mergeCell ref="B251:I251"/>
    <mergeCell ref="B223:I223"/>
    <mergeCell ref="A224:B224"/>
    <mergeCell ref="A227:B227"/>
    <mergeCell ref="A91:B91"/>
    <mergeCell ref="A94:B94"/>
    <mergeCell ref="B97:I97"/>
    <mergeCell ref="A98:B98"/>
    <mergeCell ref="A112:B112"/>
    <mergeCell ref="B111:I111"/>
    <mergeCell ref="A108:B108"/>
    <mergeCell ref="A105:B105"/>
    <mergeCell ref="B104:I104"/>
    <mergeCell ref="A101:B101"/>
    <mergeCell ref="A169:B169"/>
    <mergeCell ref="A170:B170"/>
    <mergeCell ref="A176:B176"/>
    <mergeCell ref="A177:B177"/>
    <mergeCell ref="A183:B183"/>
    <mergeCell ref="A57:B57"/>
    <mergeCell ref="A58:B58"/>
    <mergeCell ref="A64:B64"/>
    <mergeCell ref="A65:B65"/>
    <mergeCell ref="A71:B71"/>
    <mergeCell ref="A72:B72"/>
    <mergeCell ref="A78:B78"/>
    <mergeCell ref="A79:B79"/>
    <mergeCell ref="A85:B85"/>
    <mergeCell ref="A77:B77"/>
    <mergeCell ref="A80:B80"/>
    <mergeCell ref="A52:B52"/>
    <mergeCell ref="B20:I20"/>
    <mergeCell ref="A24:B24"/>
    <mergeCell ref="A31:B31"/>
    <mergeCell ref="A28:B28"/>
    <mergeCell ref="B27:I27"/>
    <mergeCell ref="A21:B21"/>
    <mergeCell ref="B55:I55"/>
    <mergeCell ref="B34:I34"/>
    <mergeCell ref="A29:B29"/>
    <mergeCell ref="A30:B30"/>
    <mergeCell ref="A36:B36"/>
    <mergeCell ref="A37:B37"/>
    <mergeCell ref="A43:B43"/>
    <mergeCell ref="A44:B44"/>
    <mergeCell ref="A50:B50"/>
    <mergeCell ref="A51:B51"/>
    <mergeCell ref="K1:L1"/>
    <mergeCell ref="K2:L2"/>
    <mergeCell ref="A15:B15"/>
    <mergeCell ref="B790:I790"/>
    <mergeCell ref="A791:B791"/>
    <mergeCell ref="A794:B794"/>
    <mergeCell ref="B797:I797"/>
    <mergeCell ref="A798:B798"/>
    <mergeCell ref="A801:B801"/>
    <mergeCell ref="B769:I769"/>
    <mergeCell ref="A770:B770"/>
    <mergeCell ref="A773:B773"/>
    <mergeCell ref="B776:I776"/>
    <mergeCell ref="A777:B777"/>
    <mergeCell ref="A780:B780"/>
    <mergeCell ref="B783:I783"/>
    <mergeCell ref="A784:B784"/>
    <mergeCell ref="A787:B787"/>
    <mergeCell ref="B748:I748"/>
    <mergeCell ref="A749:B749"/>
    <mergeCell ref="A752:B752"/>
    <mergeCell ref="B755:I755"/>
    <mergeCell ref="A756:B756"/>
    <mergeCell ref="A759:B759"/>
    <mergeCell ref="A750:B750"/>
    <mergeCell ref="A751:B751"/>
    <mergeCell ref="A757:B757"/>
    <mergeCell ref="A758:B758"/>
    <mergeCell ref="A764:B764"/>
    <mergeCell ref="A765:B765"/>
    <mergeCell ref="B804:I804"/>
    <mergeCell ref="A805:B805"/>
    <mergeCell ref="A808:B808"/>
    <mergeCell ref="A792:B792"/>
    <mergeCell ref="A793:B793"/>
    <mergeCell ref="A799:B799"/>
    <mergeCell ref="A800:B800"/>
    <mergeCell ref="A806:B806"/>
    <mergeCell ref="A807:B807"/>
    <mergeCell ref="A771:B771"/>
    <mergeCell ref="A772:B772"/>
    <mergeCell ref="A778:B778"/>
    <mergeCell ref="A779:B779"/>
    <mergeCell ref="A785:B785"/>
    <mergeCell ref="A786:B786"/>
    <mergeCell ref="B727:I727"/>
    <mergeCell ref="A728:B728"/>
    <mergeCell ref="A731:B731"/>
    <mergeCell ref="B734:I734"/>
    <mergeCell ref="A735:B735"/>
    <mergeCell ref="A738:B738"/>
    <mergeCell ref="B741:I741"/>
    <mergeCell ref="A742:B742"/>
    <mergeCell ref="A745:B745"/>
    <mergeCell ref="A729:B729"/>
    <mergeCell ref="A730:B730"/>
    <mergeCell ref="A736:B736"/>
    <mergeCell ref="A737:B737"/>
    <mergeCell ref="A743:B743"/>
    <mergeCell ref="A744:B744"/>
    <mergeCell ref="B762:I762"/>
    <mergeCell ref="A763:B763"/>
    <mergeCell ref="A766:B766"/>
    <mergeCell ref="B706:I706"/>
    <mergeCell ref="A707:B707"/>
    <mergeCell ref="A710:B710"/>
    <mergeCell ref="B713:I713"/>
    <mergeCell ref="A714:B714"/>
    <mergeCell ref="A717:B717"/>
    <mergeCell ref="B720:I720"/>
    <mergeCell ref="A721:B721"/>
    <mergeCell ref="A724:B724"/>
    <mergeCell ref="A708:B708"/>
    <mergeCell ref="A709:B709"/>
    <mergeCell ref="A715:B715"/>
    <mergeCell ref="A716:B716"/>
    <mergeCell ref="A722:B722"/>
    <mergeCell ref="A723:B723"/>
    <mergeCell ref="B685:I685"/>
    <mergeCell ref="A686:B686"/>
    <mergeCell ref="A689:B689"/>
    <mergeCell ref="B692:I692"/>
    <mergeCell ref="A693:B693"/>
    <mergeCell ref="A696:B696"/>
    <mergeCell ref="B699:I699"/>
    <mergeCell ref="A700:B700"/>
    <mergeCell ref="A703:B703"/>
    <mergeCell ref="A687:B687"/>
    <mergeCell ref="A688:B688"/>
    <mergeCell ref="A694:B694"/>
    <mergeCell ref="A695:B695"/>
    <mergeCell ref="A701:B701"/>
    <mergeCell ref="A702:B702"/>
    <mergeCell ref="B664:I664"/>
    <mergeCell ref="A665:B665"/>
    <mergeCell ref="A668:B668"/>
    <mergeCell ref="B671:I671"/>
    <mergeCell ref="A672:B672"/>
    <mergeCell ref="A675:B675"/>
    <mergeCell ref="B678:I678"/>
    <mergeCell ref="A679:B679"/>
    <mergeCell ref="A682:B682"/>
    <mergeCell ref="A666:B666"/>
    <mergeCell ref="A667:B667"/>
    <mergeCell ref="A673:B673"/>
    <mergeCell ref="A674:B674"/>
    <mergeCell ref="A680:B680"/>
    <mergeCell ref="A681:B681"/>
    <mergeCell ref="B643:I643"/>
    <mergeCell ref="A644:B644"/>
    <mergeCell ref="A647:B647"/>
    <mergeCell ref="B650:I650"/>
    <mergeCell ref="A651:B651"/>
    <mergeCell ref="A654:B654"/>
    <mergeCell ref="B657:I657"/>
    <mergeCell ref="A658:B658"/>
    <mergeCell ref="A661:B661"/>
    <mergeCell ref="A645:B645"/>
    <mergeCell ref="A646:B646"/>
    <mergeCell ref="A652:B652"/>
    <mergeCell ref="A653:B653"/>
    <mergeCell ref="A659:B659"/>
    <mergeCell ref="A660:B660"/>
    <mergeCell ref="B622:I622"/>
    <mergeCell ref="A623:B623"/>
    <mergeCell ref="A626:B626"/>
    <mergeCell ref="B629:I629"/>
    <mergeCell ref="A630:B630"/>
    <mergeCell ref="A633:B633"/>
    <mergeCell ref="B636:I636"/>
    <mergeCell ref="A637:B637"/>
    <mergeCell ref="A640:B640"/>
    <mergeCell ref="A624:B624"/>
    <mergeCell ref="A625:B625"/>
    <mergeCell ref="A631:B631"/>
    <mergeCell ref="A632:B632"/>
    <mergeCell ref="A638:B638"/>
    <mergeCell ref="A639:B639"/>
    <mergeCell ref="B601:I601"/>
    <mergeCell ref="A602:B602"/>
    <mergeCell ref="A605:B605"/>
    <mergeCell ref="B608:I608"/>
    <mergeCell ref="A609:B609"/>
    <mergeCell ref="A612:B612"/>
    <mergeCell ref="B615:I615"/>
    <mergeCell ref="A616:B616"/>
    <mergeCell ref="A619:B619"/>
    <mergeCell ref="A603:B603"/>
    <mergeCell ref="A604:B604"/>
    <mergeCell ref="A610:B610"/>
    <mergeCell ref="A611:B611"/>
    <mergeCell ref="A617:B617"/>
    <mergeCell ref="A618:B618"/>
    <mergeCell ref="B580:I580"/>
    <mergeCell ref="A581:B581"/>
    <mergeCell ref="A584:B584"/>
    <mergeCell ref="B587:I587"/>
    <mergeCell ref="A588:B588"/>
    <mergeCell ref="A591:B591"/>
    <mergeCell ref="B594:I594"/>
    <mergeCell ref="A595:B595"/>
    <mergeCell ref="A598:B598"/>
    <mergeCell ref="A582:B582"/>
    <mergeCell ref="A583:B583"/>
    <mergeCell ref="A589:B589"/>
    <mergeCell ref="A590:B590"/>
    <mergeCell ref="A596:B596"/>
    <mergeCell ref="A597:B597"/>
    <mergeCell ref="B559:I559"/>
    <mergeCell ref="A560:B560"/>
    <mergeCell ref="A563:B563"/>
    <mergeCell ref="B566:I566"/>
    <mergeCell ref="A567:B567"/>
    <mergeCell ref="A570:B570"/>
    <mergeCell ref="B573:I573"/>
    <mergeCell ref="A574:B574"/>
    <mergeCell ref="A577:B577"/>
    <mergeCell ref="A561:B561"/>
    <mergeCell ref="A562:B562"/>
    <mergeCell ref="A568:B568"/>
    <mergeCell ref="A569:B569"/>
    <mergeCell ref="A575:B575"/>
    <mergeCell ref="A576:B576"/>
    <mergeCell ref="B538:I538"/>
    <mergeCell ref="A539:B539"/>
    <mergeCell ref="A542:B542"/>
    <mergeCell ref="B545:I545"/>
    <mergeCell ref="A546:B546"/>
    <mergeCell ref="A549:B549"/>
    <mergeCell ref="B552:I552"/>
    <mergeCell ref="A553:B553"/>
    <mergeCell ref="A556:B556"/>
    <mergeCell ref="A547:B547"/>
    <mergeCell ref="A548:B548"/>
    <mergeCell ref="A554:B554"/>
    <mergeCell ref="A555:B555"/>
    <mergeCell ref="B496:I496"/>
    <mergeCell ref="A497:B497"/>
    <mergeCell ref="A500:B500"/>
    <mergeCell ref="B503:I503"/>
    <mergeCell ref="A504:B504"/>
    <mergeCell ref="A507:B507"/>
    <mergeCell ref="B510:I510"/>
    <mergeCell ref="A469:B469"/>
    <mergeCell ref="A472:B472"/>
    <mergeCell ref="B475:I475"/>
    <mergeCell ref="A470:B470"/>
    <mergeCell ref="A471:B471"/>
    <mergeCell ref="A477:B477"/>
    <mergeCell ref="A478:B478"/>
    <mergeCell ref="A484:B484"/>
    <mergeCell ref="A476:B476"/>
    <mergeCell ref="A479:B479"/>
    <mergeCell ref="B482:I482"/>
    <mergeCell ref="A483:B483"/>
    <mergeCell ref="A485:B485"/>
    <mergeCell ref="A491:B491"/>
    <mergeCell ref="A492:B492"/>
    <mergeCell ref="A498:B498"/>
    <mergeCell ref="A499:B499"/>
    <mergeCell ref="A92:B92"/>
    <mergeCell ref="A93:B93"/>
    <mergeCell ref="A99:B99"/>
    <mergeCell ref="A100:B100"/>
    <mergeCell ref="A427:B427"/>
    <mergeCell ref="A147:B147"/>
    <mergeCell ref="A295:B295"/>
    <mergeCell ref="A296:B296"/>
    <mergeCell ref="B258:I258"/>
    <mergeCell ref="A106:B106"/>
    <mergeCell ref="A107:B107"/>
    <mergeCell ref="A113:B113"/>
    <mergeCell ref="A114:B114"/>
    <mergeCell ref="A120:B120"/>
    <mergeCell ref="A121:B121"/>
    <mergeCell ref="A127:B127"/>
    <mergeCell ref="A128:B128"/>
    <mergeCell ref="A302:B302"/>
    <mergeCell ref="A303:B303"/>
    <mergeCell ref="A309:B309"/>
    <mergeCell ref="A310:B310"/>
    <mergeCell ref="A316:B316"/>
    <mergeCell ref="A317:B317"/>
    <mergeCell ref="A323:B323"/>
    <mergeCell ref="A220:B220"/>
    <mergeCell ref="B160:I160"/>
    <mergeCell ref="A161:B161"/>
    <mergeCell ref="A164:B164"/>
    <mergeCell ref="B167:I167"/>
    <mergeCell ref="A168:B168"/>
    <mergeCell ref="A171:B171"/>
    <mergeCell ref="B174:I174"/>
    <mergeCell ref="A157:B157"/>
    <mergeCell ref="A203:B203"/>
    <mergeCell ref="A206:B206"/>
    <mergeCell ref="A162:B162"/>
    <mergeCell ref="A175:B175"/>
    <mergeCell ref="B146:I146"/>
    <mergeCell ref="A140:B140"/>
    <mergeCell ref="B139:I139"/>
    <mergeCell ref="A136:B136"/>
    <mergeCell ref="A133:B133"/>
    <mergeCell ref="B132:I132"/>
    <mergeCell ref="A213:B213"/>
    <mergeCell ref="B216:I216"/>
    <mergeCell ref="A217:B217"/>
    <mergeCell ref="A134:B134"/>
    <mergeCell ref="B153:I153"/>
    <mergeCell ref="A154:B154"/>
    <mergeCell ref="A135:B135"/>
    <mergeCell ref="A141:B141"/>
    <mergeCell ref="A142:B142"/>
    <mergeCell ref="A148:B148"/>
    <mergeCell ref="A163:B163"/>
    <mergeCell ref="A353:B353"/>
    <mergeCell ref="A430:B430"/>
    <mergeCell ref="B454:I454"/>
    <mergeCell ref="A455:B455"/>
    <mergeCell ref="A458:B458"/>
    <mergeCell ref="A266:B266"/>
    <mergeCell ref="A246:B246"/>
    <mergeCell ref="A247:B247"/>
    <mergeCell ref="A253:B253"/>
    <mergeCell ref="A254:B254"/>
    <mergeCell ref="A260:B260"/>
    <mergeCell ref="A261:B261"/>
    <mergeCell ref="A267:B267"/>
    <mergeCell ref="A268:B268"/>
    <mergeCell ref="A274:B274"/>
    <mergeCell ref="A275:B275"/>
    <mergeCell ref="A281:B281"/>
    <mergeCell ref="B349:I349"/>
    <mergeCell ref="A350:B350"/>
    <mergeCell ref="A311:B311"/>
    <mergeCell ref="B314:I314"/>
    <mergeCell ref="A315:B315"/>
    <mergeCell ref="A318:B318"/>
    <mergeCell ref="B321:I321"/>
    <mergeCell ref="A332:B332"/>
    <mergeCell ref="B307:I307"/>
    <mergeCell ref="A308:B308"/>
    <mergeCell ref="A269:B269"/>
    <mergeCell ref="B272:I272"/>
    <mergeCell ref="A273:B273"/>
    <mergeCell ref="A276:B276"/>
    <mergeCell ref="B279:I279"/>
    <mergeCell ref="A331:B331"/>
    <mergeCell ref="A324:B324"/>
    <mergeCell ref="A330:B330"/>
    <mergeCell ref="A245:B245"/>
    <mergeCell ref="A248:B248"/>
    <mergeCell ref="A290:B290"/>
    <mergeCell ref="B293:I293"/>
    <mergeCell ref="A294:B294"/>
    <mergeCell ref="A297:B297"/>
    <mergeCell ref="B300:I300"/>
    <mergeCell ref="A301:B301"/>
    <mergeCell ref="A304:B304"/>
    <mergeCell ref="A262:B262"/>
    <mergeCell ref="B265:I265"/>
    <mergeCell ref="A280:B280"/>
    <mergeCell ref="A283:B283"/>
    <mergeCell ref="B286:I286"/>
    <mergeCell ref="A287:B287"/>
    <mergeCell ref="A5:I5"/>
    <mergeCell ref="B11:I11"/>
    <mergeCell ref="B13:I13"/>
    <mergeCell ref="A14:B14"/>
    <mergeCell ref="A35:B35"/>
    <mergeCell ref="A38:B38"/>
    <mergeCell ref="B41:I41"/>
    <mergeCell ref="A42:B42"/>
    <mergeCell ref="A45:B45"/>
    <mergeCell ref="A17:B17"/>
    <mergeCell ref="B9:I9"/>
    <mergeCell ref="G7:I7"/>
    <mergeCell ref="A360:B360"/>
    <mergeCell ref="B342:I342"/>
    <mergeCell ref="A343:B343"/>
    <mergeCell ref="A149:B149"/>
    <mergeCell ref="A155:B155"/>
    <mergeCell ref="A156:B156"/>
    <mergeCell ref="B118:I118"/>
    <mergeCell ref="A115:B115"/>
    <mergeCell ref="A122:B122"/>
    <mergeCell ref="B335:I335"/>
    <mergeCell ref="A336:B336"/>
    <mergeCell ref="A339:B339"/>
    <mergeCell ref="A322:B322"/>
    <mergeCell ref="A325:B325"/>
    <mergeCell ref="B328:I328"/>
    <mergeCell ref="A329:B329"/>
    <mergeCell ref="A129:B129"/>
    <mergeCell ref="A126:B126"/>
    <mergeCell ref="B125:I125"/>
    <mergeCell ref="A119:B119"/>
    <mergeCell ref="A346:B346"/>
    <mergeCell ref="A259:B259"/>
    <mergeCell ref="B230:I230"/>
    <mergeCell ref="A231:B231"/>
    <mergeCell ref="A359:B359"/>
    <mergeCell ref="B62:I62"/>
    <mergeCell ref="A59:B59"/>
    <mergeCell ref="A56:B56"/>
    <mergeCell ref="A16:B16"/>
    <mergeCell ref="A22:B22"/>
    <mergeCell ref="A23:B23"/>
    <mergeCell ref="B356:I356"/>
    <mergeCell ref="A357:B357"/>
    <mergeCell ref="B76:I76"/>
    <mergeCell ref="A73:B73"/>
    <mergeCell ref="A70:B70"/>
    <mergeCell ref="B69:I69"/>
    <mergeCell ref="A66:B66"/>
    <mergeCell ref="A63:B63"/>
    <mergeCell ref="B48:I48"/>
    <mergeCell ref="A49:B49"/>
    <mergeCell ref="A84:B84"/>
    <mergeCell ref="B83:I83"/>
    <mergeCell ref="A234:B234"/>
    <mergeCell ref="B237:I237"/>
    <mergeCell ref="A238:B238"/>
    <mergeCell ref="A241:B241"/>
    <mergeCell ref="B244:I244"/>
    <mergeCell ref="B419:I419"/>
    <mergeCell ref="B363:I363"/>
    <mergeCell ref="A150:B150"/>
    <mergeCell ref="A143:B143"/>
    <mergeCell ref="A178:B178"/>
    <mergeCell ref="B181:I181"/>
    <mergeCell ref="A182:B182"/>
    <mergeCell ref="A185:B185"/>
    <mergeCell ref="B188:I188"/>
    <mergeCell ref="A189:B189"/>
    <mergeCell ref="A192:B192"/>
    <mergeCell ref="B195:I195"/>
    <mergeCell ref="A196:B196"/>
    <mergeCell ref="A199:B199"/>
    <mergeCell ref="B202:I202"/>
    <mergeCell ref="B209:I209"/>
    <mergeCell ref="A210:B210"/>
    <mergeCell ref="A337:B337"/>
    <mergeCell ref="A338:B338"/>
    <mergeCell ref="A344:B344"/>
    <mergeCell ref="A345:B345"/>
    <mergeCell ref="A351:B351"/>
    <mergeCell ref="A352:B352"/>
    <mergeCell ref="A358:B358"/>
    <mergeCell ref="B384:I384"/>
    <mergeCell ref="A385:B385"/>
    <mergeCell ref="A388:B388"/>
    <mergeCell ref="B391:I391"/>
    <mergeCell ref="B426:I426"/>
    <mergeCell ref="A395:B395"/>
    <mergeCell ref="B398:I398"/>
    <mergeCell ref="A399:B399"/>
    <mergeCell ref="A402:B402"/>
    <mergeCell ref="B405:I405"/>
    <mergeCell ref="A406:B406"/>
    <mergeCell ref="A409:B409"/>
    <mergeCell ref="B412:I412"/>
    <mergeCell ref="A413:B413"/>
    <mergeCell ref="A416:B416"/>
    <mergeCell ref="A394:B394"/>
    <mergeCell ref="A400:B400"/>
    <mergeCell ref="A401:B401"/>
    <mergeCell ref="A407:B407"/>
    <mergeCell ref="A408:B408"/>
    <mergeCell ref="A414:B414"/>
    <mergeCell ref="A415:B415"/>
    <mergeCell ref="A421:B421"/>
    <mergeCell ref="A422:B422"/>
    <mergeCell ref="A462:B462"/>
    <mergeCell ref="A420:B420"/>
    <mergeCell ref="A423:B423"/>
    <mergeCell ref="A364:B364"/>
    <mergeCell ref="A367:B367"/>
    <mergeCell ref="B370:I370"/>
    <mergeCell ref="A371:B371"/>
    <mergeCell ref="A428:B428"/>
    <mergeCell ref="A429:B429"/>
    <mergeCell ref="A435:B435"/>
    <mergeCell ref="A365:B365"/>
    <mergeCell ref="A366:B366"/>
    <mergeCell ref="A372:B372"/>
    <mergeCell ref="A373:B373"/>
    <mergeCell ref="A379:B379"/>
    <mergeCell ref="A380:B380"/>
    <mergeCell ref="A386:B386"/>
    <mergeCell ref="A387:B387"/>
    <mergeCell ref="A393:B393"/>
    <mergeCell ref="A392:B392"/>
    <mergeCell ref="A374:B374"/>
    <mergeCell ref="B377:I377"/>
    <mergeCell ref="A378:B378"/>
    <mergeCell ref="A381:B381"/>
    <mergeCell ref="A526:B526"/>
    <mergeCell ref="A527:B527"/>
    <mergeCell ref="A533:B533"/>
    <mergeCell ref="A465:B465"/>
    <mergeCell ref="B468:I468"/>
    <mergeCell ref="B433:I433"/>
    <mergeCell ref="A434:B434"/>
    <mergeCell ref="A437:B437"/>
    <mergeCell ref="B440:I440"/>
    <mergeCell ref="A441:B441"/>
    <mergeCell ref="A444:B444"/>
    <mergeCell ref="B447:I447"/>
    <mergeCell ref="A448:B448"/>
    <mergeCell ref="A451:B451"/>
    <mergeCell ref="A436:B436"/>
    <mergeCell ref="A442:B442"/>
    <mergeCell ref="A443:B443"/>
    <mergeCell ref="A449:B449"/>
    <mergeCell ref="A450:B450"/>
    <mergeCell ref="A456:B456"/>
    <mergeCell ref="A457:B457"/>
    <mergeCell ref="A463:B463"/>
    <mergeCell ref="A464:B464"/>
    <mergeCell ref="B461:I461"/>
    <mergeCell ref="A486:B486"/>
    <mergeCell ref="B489:I489"/>
    <mergeCell ref="A490:B490"/>
    <mergeCell ref="A493:B493"/>
    <mergeCell ref="A511:B511"/>
    <mergeCell ref="A514:B514"/>
    <mergeCell ref="A534:B534"/>
    <mergeCell ref="A540:B540"/>
    <mergeCell ref="A541:B541"/>
    <mergeCell ref="B517:I517"/>
    <mergeCell ref="A518:B518"/>
    <mergeCell ref="A521:B521"/>
    <mergeCell ref="B524:I524"/>
    <mergeCell ref="A525:B525"/>
    <mergeCell ref="A528:B528"/>
    <mergeCell ref="B531:I531"/>
    <mergeCell ref="A532:B532"/>
    <mergeCell ref="A535:B535"/>
    <mergeCell ref="A505:B505"/>
    <mergeCell ref="A506:B506"/>
    <mergeCell ref="A512:B512"/>
    <mergeCell ref="A513:B513"/>
    <mergeCell ref="A519:B519"/>
    <mergeCell ref="A520:B520"/>
  </mergeCells>
  <conditionalFormatting sqref="A13:I15">
    <cfRule type="expression" dxfId="5" priority="309">
      <formula>$K13:$K810="ERRO"</formula>
    </cfRule>
  </conditionalFormatting>
  <conditionalFormatting sqref="A16:I16 I22:I23 I29:I30 I36:I37 I43:I44 I50:I51 I57:I58 I64:I65 I71:I72 I78:I79 I85:I86 I92:I93 I99:I100 I106:I107 I113:I114 I120:I121 I127:I128 I134:I135 I141:I142 I148:I149 I155:I156 I162:I163 I169:I170 I176:I177 I183:I184 I190:I191 I197:I198 I204:I205 I211:I212 I218:I219 I225:I226 I232:I233 I239:I240 I246:I247 I253:I254 I260:I261 I267:I268 I274:I275 I281:I282 I288:I289 I295:I296 I302:I303 I309:I310 I316:I317 I323:I324 I330:I331 I337:I338 I344:I345 I351:I352 I358:I359 I365:I366 I372:I373 I379:I380 I386:I387 I393:I394 I400:I401 I407:I408 I414:I415 I421:I422 I428:I429 I435:I436 I442:I443 I449:I450 I456:I457 I463:I464 I470:I471 I477:I478 I484:I485 I491:I492 I498:I499 I505:I506 I512:I513 I519:I520 I526:I527 I533:I534 I540:I541 I547:I548 I554:I555 I561:I562 I568:I569 I575:I576 I582:I583 I589:I590 I596:I597 I603:I604 I610:I611 I617:I618 I624:I625 I631:I632 I638:I639 I645:I646 I652:I653 I659:I660 I666:I667 I673:I674 I680:I681 I687:I688 I694:I695 I701:I702 I708:I709 I715:I716 I722:I723 I729:I730 I736:I737 I743:I744 I750:I751 I757:I758 I764:I765 I771:I772 I778:I779 I785:I786 I792:I793 I799:I800 I806:I807">
    <cfRule type="expression" dxfId="4" priority="310">
      <formula>$K16:$K811="ERRO"</formula>
    </cfRule>
  </conditionalFormatting>
  <conditionalFormatting sqref="A17:I810">
    <cfRule type="expression" dxfId="3" priority="307">
      <formula>$K17:$K813="ERRO"</formula>
    </cfRule>
  </conditionalFormatting>
  <conditionalFormatting sqref="J13:K15">
    <cfRule type="expression" dxfId="2" priority="311">
      <formula>$K13:$K810="OK"</formula>
    </cfRule>
  </conditionalFormatting>
  <conditionalFormatting sqref="J16:K16">
    <cfRule type="expression" dxfId="1" priority="312">
      <formula>$K16:$K811="OK"</formula>
    </cfRule>
  </conditionalFormatting>
  <conditionalFormatting sqref="J17:K810">
    <cfRule type="expression" dxfId="0" priority="308">
      <formula>$K17:$K813="OK"</formula>
    </cfRule>
  </conditionalFormatting>
  <printOptions horizontalCentered="1"/>
  <pageMargins left="0.51181102362204722" right="0.51181102362204722" top="0.78740157480314965" bottom="0.78740157480314965" header="0.31496062992125984" footer="0.31496062992125984"/>
  <pageSetup paperSize="9" scale="79" fitToHeight="0" orientation="portrait" verticalDpi="4294967293" r:id="rId1"/>
  <headerFooter>
    <oddFooter>Página &amp;P de &amp;N</oddFooter>
  </headerFooter>
  <rowBreaks count="5" manualBreakCount="5">
    <brk id="82" max="8" man="1"/>
    <brk id="152" max="8" man="1"/>
    <brk id="439" max="8" man="1"/>
    <brk id="509" max="8" man="1"/>
    <brk id="789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DA275-F630-4585-B210-F007BEA7597B}">
  <dimension ref="A1:D126"/>
  <sheetViews>
    <sheetView tabSelected="1" workbookViewId="0">
      <selection activeCell="A2" sqref="A2:D126"/>
    </sheetView>
  </sheetViews>
  <sheetFormatPr defaultRowHeight="13.2" x14ac:dyDescent="0.25"/>
  <cols>
    <col min="1" max="1" width="19" customWidth="1"/>
    <col min="2" max="2" width="18.109375" customWidth="1"/>
  </cols>
  <sheetData>
    <row r="1" spans="1:4" ht="18" thickBot="1" x14ac:dyDescent="0.35">
      <c r="A1" s="63" t="s">
        <v>594</v>
      </c>
      <c r="B1" s="64" t="s">
        <v>595</v>
      </c>
      <c r="C1" s="64" t="s">
        <v>596</v>
      </c>
      <c r="D1" s="65" t="s">
        <v>5</v>
      </c>
    </row>
    <row r="2" spans="1:4" x14ac:dyDescent="0.25">
      <c r="A2" s="66"/>
      <c r="B2" s="66"/>
      <c r="C2" s="66"/>
      <c r="D2" s="66"/>
    </row>
    <row r="3" spans="1:4" x14ac:dyDescent="0.25">
      <c r="A3" s="66"/>
      <c r="B3" s="66"/>
      <c r="C3" s="66"/>
      <c r="D3" s="66"/>
    </row>
    <row r="4" spans="1:4" x14ac:dyDescent="0.25">
      <c r="A4" s="66"/>
      <c r="B4" s="66"/>
      <c r="C4" s="66"/>
      <c r="D4" s="66"/>
    </row>
    <row r="5" spans="1:4" x14ac:dyDescent="0.25">
      <c r="A5" s="66"/>
      <c r="B5" s="66"/>
      <c r="C5" s="66"/>
      <c r="D5" s="66"/>
    </row>
    <row r="6" spans="1:4" x14ac:dyDescent="0.25">
      <c r="A6" s="66"/>
      <c r="B6" s="66"/>
      <c r="C6" s="66"/>
      <c r="D6" s="66"/>
    </row>
    <row r="7" spans="1:4" x14ac:dyDescent="0.25">
      <c r="A7" s="66"/>
      <c r="B7" s="66"/>
      <c r="C7" s="66"/>
      <c r="D7" s="66"/>
    </row>
    <row r="8" spans="1:4" x14ac:dyDescent="0.25">
      <c r="A8" s="66"/>
      <c r="B8" s="66"/>
      <c r="C8" s="66"/>
      <c r="D8" s="66"/>
    </row>
    <row r="9" spans="1:4" x14ac:dyDescent="0.25">
      <c r="A9" s="66"/>
      <c r="B9" s="66"/>
      <c r="C9" s="66"/>
      <c r="D9" s="66"/>
    </row>
    <row r="10" spans="1:4" x14ac:dyDescent="0.25">
      <c r="A10" s="66"/>
      <c r="B10" s="66"/>
      <c r="C10" s="66"/>
      <c r="D10" s="66"/>
    </row>
    <row r="11" spans="1:4" x14ac:dyDescent="0.25">
      <c r="A11" s="66"/>
      <c r="B11" s="66"/>
      <c r="C11" s="66"/>
      <c r="D11" s="66"/>
    </row>
    <row r="12" spans="1:4" x14ac:dyDescent="0.25">
      <c r="A12" s="66"/>
      <c r="B12" s="66"/>
      <c r="C12" s="66"/>
      <c r="D12" s="66"/>
    </row>
    <row r="13" spans="1:4" x14ac:dyDescent="0.25">
      <c r="A13" s="66"/>
      <c r="B13" s="66"/>
      <c r="C13" s="66"/>
      <c r="D13" s="66"/>
    </row>
    <row r="14" spans="1:4" x14ac:dyDescent="0.25">
      <c r="A14" s="66"/>
      <c r="B14" s="66"/>
      <c r="C14" s="66"/>
      <c r="D14" s="66"/>
    </row>
    <row r="15" spans="1:4" x14ac:dyDescent="0.25">
      <c r="A15" s="66"/>
      <c r="B15" s="66"/>
      <c r="C15" s="66"/>
      <c r="D15" s="66"/>
    </row>
    <row r="16" spans="1:4" x14ac:dyDescent="0.25">
      <c r="A16" s="66"/>
      <c r="B16" s="66"/>
      <c r="C16" s="66"/>
      <c r="D16" s="66"/>
    </row>
    <row r="17" spans="1:4" x14ac:dyDescent="0.25">
      <c r="A17" s="66"/>
      <c r="B17" s="66"/>
      <c r="C17" s="66"/>
      <c r="D17" s="66"/>
    </row>
    <row r="18" spans="1:4" x14ac:dyDescent="0.25">
      <c r="A18" s="66"/>
      <c r="B18" s="66"/>
      <c r="C18" s="66"/>
      <c r="D18" s="66"/>
    </row>
    <row r="19" spans="1:4" x14ac:dyDescent="0.25">
      <c r="A19" s="66"/>
      <c r="B19" s="66"/>
      <c r="C19" s="66"/>
      <c r="D19" s="66"/>
    </row>
    <row r="20" spans="1:4" x14ac:dyDescent="0.25">
      <c r="A20" s="66"/>
      <c r="B20" s="66"/>
      <c r="C20" s="66"/>
      <c r="D20" s="66"/>
    </row>
    <row r="21" spans="1:4" x14ac:dyDescent="0.25">
      <c r="A21" s="66"/>
      <c r="B21" s="66"/>
      <c r="C21" s="66"/>
      <c r="D21" s="66"/>
    </row>
    <row r="22" spans="1:4" x14ac:dyDescent="0.25">
      <c r="A22" s="66"/>
      <c r="B22" s="66"/>
      <c r="C22" s="66"/>
      <c r="D22" s="66"/>
    </row>
    <row r="23" spans="1:4" x14ac:dyDescent="0.25">
      <c r="A23" s="66"/>
      <c r="B23" s="66"/>
      <c r="C23" s="66"/>
      <c r="D23" s="66"/>
    </row>
    <row r="24" spans="1:4" x14ac:dyDescent="0.25">
      <c r="A24" s="66"/>
      <c r="B24" s="66"/>
      <c r="C24" s="66"/>
      <c r="D24" s="66"/>
    </row>
    <row r="25" spans="1:4" x14ac:dyDescent="0.25">
      <c r="A25" s="66"/>
      <c r="B25" s="66"/>
      <c r="C25" s="66"/>
      <c r="D25" s="66"/>
    </row>
    <row r="26" spans="1:4" x14ac:dyDescent="0.25">
      <c r="A26" s="66"/>
      <c r="B26" s="66"/>
      <c r="C26" s="66"/>
      <c r="D26" s="66"/>
    </row>
    <row r="27" spans="1:4" x14ac:dyDescent="0.25">
      <c r="A27" s="66"/>
      <c r="B27" s="66"/>
      <c r="C27" s="66"/>
      <c r="D27" s="66"/>
    </row>
    <row r="28" spans="1:4" x14ac:dyDescent="0.25">
      <c r="A28" s="66"/>
      <c r="B28" s="66"/>
      <c r="C28" s="66"/>
      <c r="D28" s="66"/>
    </row>
    <row r="29" spans="1:4" x14ac:dyDescent="0.25">
      <c r="A29" s="66"/>
      <c r="B29" s="66"/>
      <c r="C29" s="66"/>
      <c r="D29" s="66"/>
    </row>
    <row r="30" spans="1:4" x14ac:dyDescent="0.25">
      <c r="A30" s="66"/>
      <c r="B30" s="66"/>
      <c r="C30" s="66"/>
      <c r="D30" s="66"/>
    </row>
    <row r="31" spans="1:4" x14ac:dyDescent="0.25">
      <c r="A31" s="66"/>
      <c r="B31" s="66"/>
      <c r="C31" s="66"/>
      <c r="D31" s="66"/>
    </row>
    <row r="32" spans="1:4" x14ac:dyDescent="0.25">
      <c r="A32" s="66"/>
      <c r="B32" s="66"/>
      <c r="C32" s="66"/>
      <c r="D32" s="66"/>
    </row>
    <row r="33" spans="1:4" x14ac:dyDescent="0.25">
      <c r="A33" s="66"/>
      <c r="B33" s="66"/>
      <c r="C33" s="66"/>
      <c r="D33" s="66"/>
    </row>
    <row r="34" spans="1:4" x14ac:dyDescent="0.25">
      <c r="A34" s="66"/>
      <c r="B34" s="66"/>
      <c r="C34" s="66"/>
      <c r="D34" s="66"/>
    </row>
    <row r="35" spans="1:4" x14ac:dyDescent="0.25">
      <c r="A35" s="66"/>
      <c r="B35" s="66"/>
      <c r="C35" s="66"/>
      <c r="D35" s="66"/>
    </row>
    <row r="36" spans="1:4" x14ac:dyDescent="0.25">
      <c r="A36" s="66"/>
      <c r="B36" s="66"/>
      <c r="C36" s="66"/>
      <c r="D36" s="66"/>
    </row>
    <row r="37" spans="1:4" x14ac:dyDescent="0.25">
      <c r="A37" s="66"/>
      <c r="B37" s="66"/>
      <c r="C37" s="66"/>
      <c r="D37" s="66"/>
    </row>
    <row r="38" spans="1:4" x14ac:dyDescent="0.25">
      <c r="A38" s="66"/>
      <c r="B38" s="66"/>
      <c r="C38" s="66"/>
      <c r="D38" s="66"/>
    </row>
    <row r="39" spans="1:4" x14ac:dyDescent="0.25">
      <c r="A39" s="66"/>
      <c r="B39" s="66"/>
      <c r="C39" s="66"/>
      <c r="D39" s="66"/>
    </row>
    <row r="40" spans="1:4" x14ac:dyDescent="0.25">
      <c r="A40" s="66"/>
      <c r="B40" s="66"/>
      <c r="C40" s="66"/>
      <c r="D40" s="66"/>
    </row>
    <row r="41" spans="1:4" x14ac:dyDescent="0.25">
      <c r="A41" s="66"/>
      <c r="B41" s="66"/>
      <c r="C41" s="66"/>
      <c r="D41" s="66"/>
    </row>
    <row r="42" spans="1:4" x14ac:dyDescent="0.25">
      <c r="A42" s="66"/>
      <c r="B42" s="66"/>
      <c r="C42" s="66"/>
      <c r="D42" s="66"/>
    </row>
    <row r="43" spans="1:4" x14ac:dyDescent="0.25">
      <c r="A43" s="66"/>
      <c r="B43" s="66"/>
      <c r="C43" s="66"/>
      <c r="D43" s="66"/>
    </row>
    <row r="44" spans="1:4" x14ac:dyDescent="0.25">
      <c r="A44" s="66"/>
      <c r="B44" s="66"/>
      <c r="C44" s="66"/>
      <c r="D44" s="66"/>
    </row>
    <row r="45" spans="1:4" x14ac:dyDescent="0.25">
      <c r="A45" s="66"/>
      <c r="B45" s="66"/>
      <c r="C45" s="66"/>
      <c r="D45" s="66"/>
    </row>
    <row r="46" spans="1:4" x14ac:dyDescent="0.25">
      <c r="A46" s="66"/>
      <c r="B46" s="66"/>
      <c r="C46" s="66"/>
      <c r="D46" s="66"/>
    </row>
    <row r="47" spans="1:4" x14ac:dyDescent="0.25">
      <c r="A47" s="66"/>
      <c r="B47" s="66"/>
      <c r="C47" s="66"/>
      <c r="D47" s="66"/>
    </row>
    <row r="48" spans="1:4" x14ac:dyDescent="0.25">
      <c r="A48" s="66"/>
      <c r="B48" s="66"/>
      <c r="C48" s="66"/>
      <c r="D48" s="66"/>
    </row>
    <row r="49" spans="1:4" x14ac:dyDescent="0.25">
      <c r="A49" s="66"/>
      <c r="B49" s="66"/>
      <c r="C49" s="66"/>
      <c r="D49" s="66"/>
    </row>
    <row r="50" spans="1:4" x14ac:dyDescent="0.25">
      <c r="A50" s="66"/>
      <c r="B50" s="66"/>
      <c r="C50" s="66"/>
      <c r="D50" s="66"/>
    </row>
    <row r="51" spans="1:4" x14ac:dyDescent="0.25">
      <c r="A51" s="66"/>
      <c r="B51" s="66"/>
      <c r="C51" s="66"/>
      <c r="D51" s="66"/>
    </row>
    <row r="52" spans="1:4" x14ac:dyDescent="0.25">
      <c r="A52" s="66"/>
      <c r="B52" s="66"/>
      <c r="C52" s="66"/>
      <c r="D52" s="66"/>
    </row>
    <row r="53" spans="1:4" x14ac:dyDescent="0.25">
      <c r="A53" s="66"/>
      <c r="B53" s="66"/>
      <c r="C53" s="66"/>
      <c r="D53" s="66"/>
    </row>
    <row r="54" spans="1:4" x14ac:dyDescent="0.25">
      <c r="A54" s="66"/>
      <c r="B54" s="66"/>
      <c r="C54" s="66"/>
      <c r="D54" s="66"/>
    </row>
    <row r="55" spans="1:4" x14ac:dyDescent="0.25">
      <c r="A55" s="66"/>
      <c r="B55" s="66"/>
      <c r="C55" s="66"/>
      <c r="D55" s="66"/>
    </row>
    <row r="56" spans="1:4" x14ac:dyDescent="0.25">
      <c r="A56" s="66"/>
      <c r="B56" s="66"/>
      <c r="C56" s="66"/>
      <c r="D56" s="66"/>
    </row>
    <row r="57" spans="1:4" x14ac:dyDescent="0.25">
      <c r="A57" s="66"/>
      <c r="B57" s="66"/>
      <c r="C57" s="66"/>
      <c r="D57" s="66"/>
    </row>
    <row r="58" spans="1:4" x14ac:dyDescent="0.25">
      <c r="A58" s="66"/>
      <c r="B58" s="66"/>
      <c r="C58" s="66"/>
      <c r="D58" s="66"/>
    </row>
    <row r="59" spans="1:4" x14ac:dyDescent="0.25">
      <c r="A59" s="66"/>
      <c r="B59" s="66"/>
      <c r="C59" s="66"/>
      <c r="D59" s="66"/>
    </row>
    <row r="60" spans="1:4" x14ac:dyDescent="0.25">
      <c r="A60" s="66"/>
      <c r="B60" s="66"/>
      <c r="C60" s="66"/>
      <c r="D60" s="66"/>
    </row>
    <row r="61" spans="1:4" x14ac:dyDescent="0.25">
      <c r="A61" s="66"/>
      <c r="B61" s="66"/>
      <c r="C61" s="66"/>
      <c r="D61" s="66"/>
    </row>
    <row r="62" spans="1:4" x14ac:dyDescent="0.25">
      <c r="A62" s="66"/>
      <c r="B62" s="66"/>
      <c r="C62" s="66"/>
      <c r="D62" s="66"/>
    </row>
    <row r="63" spans="1:4" x14ac:dyDescent="0.25">
      <c r="A63" s="66"/>
      <c r="B63" s="66"/>
      <c r="C63" s="66"/>
      <c r="D63" s="66"/>
    </row>
    <row r="64" spans="1:4" x14ac:dyDescent="0.25">
      <c r="A64" s="66"/>
      <c r="B64" s="66"/>
      <c r="C64" s="66"/>
      <c r="D64" s="66"/>
    </row>
    <row r="65" spans="1:4" x14ac:dyDescent="0.25">
      <c r="A65" s="66"/>
      <c r="B65" s="66"/>
      <c r="C65" s="66"/>
      <c r="D65" s="66"/>
    </row>
    <row r="66" spans="1:4" x14ac:dyDescent="0.25">
      <c r="A66" s="66"/>
      <c r="B66" s="66"/>
      <c r="C66" s="66"/>
      <c r="D66" s="66"/>
    </row>
    <row r="67" spans="1:4" x14ac:dyDescent="0.25">
      <c r="A67" s="66"/>
      <c r="B67" s="66"/>
      <c r="C67" s="66"/>
      <c r="D67" s="66"/>
    </row>
    <row r="68" spans="1:4" x14ac:dyDescent="0.25">
      <c r="A68" s="66"/>
      <c r="B68" s="66"/>
      <c r="C68" s="66"/>
      <c r="D68" s="66"/>
    </row>
    <row r="69" spans="1:4" x14ac:dyDescent="0.25">
      <c r="A69" s="66"/>
      <c r="B69" s="66"/>
      <c r="C69" s="66"/>
      <c r="D69" s="66"/>
    </row>
    <row r="70" spans="1:4" x14ac:dyDescent="0.25">
      <c r="A70" s="66"/>
      <c r="B70" s="66"/>
      <c r="C70" s="66"/>
      <c r="D70" s="66"/>
    </row>
    <row r="71" spans="1:4" x14ac:dyDescent="0.25">
      <c r="A71" s="66"/>
      <c r="B71" s="66"/>
      <c r="C71" s="66"/>
      <c r="D71" s="66"/>
    </row>
    <row r="72" spans="1:4" x14ac:dyDescent="0.25">
      <c r="A72" s="66"/>
      <c r="B72" s="66"/>
      <c r="C72" s="66"/>
      <c r="D72" s="66"/>
    </row>
    <row r="73" spans="1:4" x14ac:dyDescent="0.25">
      <c r="A73" s="66"/>
      <c r="B73" s="66"/>
      <c r="C73" s="66"/>
      <c r="D73" s="66"/>
    </row>
    <row r="74" spans="1:4" x14ac:dyDescent="0.25">
      <c r="A74" s="66"/>
      <c r="B74" s="66"/>
      <c r="C74" s="66"/>
      <c r="D74" s="66"/>
    </row>
    <row r="75" spans="1:4" x14ac:dyDescent="0.25">
      <c r="A75" s="66"/>
      <c r="B75" s="66"/>
      <c r="C75" s="66"/>
      <c r="D75" s="66"/>
    </row>
    <row r="76" spans="1:4" x14ac:dyDescent="0.25">
      <c r="A76" s="66"/>
      <c r="B76" s="66"/>
      <c r="C76" s="66"/>
      <c r="D76" s="66"/>
    </row>
    <row r="77" spans="1:4" x14ac:dyDescent="0.25">
      <c r="A77" s="66"/>
      <c r="B77" s="66"/>
      <c r="C77" s="66"/>
      <c r="D77" s="66"/>
    </row>
    <row r="78" spans="1:4" x14ac:dyDescent="0.25">
      <c r="A78" s="66"/>
      <c r="B78" s="66"/>
      <c r="C78" s="66"/>
      <c r="D78" s="66"/>
    </row>
    <row r="79" spans="1:4" x14ac:dyDescent="0.25">
      <c r="A79" s="66"/>
      <c r="B79" s="66"/>
      <c r="C79" s="66"/>
      <c r="D79" s="66"/>
    </row>
    <row r="80" spans="1:4" x14ac:dyDescent="0.25">
      <c r="A80" s="66"/>
      <c r="B80" s="66"/>
      <c r="C80" s="66"/>
      <c r="D80" s="66"/>
    </row>
    <row r="81" spans="1:4" x14ac:dyDescent="0.25">
      <c r="A81" s="66"/>
      <c r="B81" s="66"/>
      <c r="C81" s="66"/>
      <c r="D81" s="66"/>
    </row>
    <row r="82" spans="1:4" x14ac:dyDescent="0.25">
      <c r="A82" s="66"/>
      <c r="B82" s="66"/>
      <c r="C82" s="66"/>
      <c r="D82" s="66"/>
    </row>
    <row r="83" spans="1:4" x14ac:dyDescent="0.25">
      <c r="A83" s="66"/>
      <c r="B83" s="66"/>
      <c r="C83" s="66"/>
      <c r="D83" s="66"/>
    </row>
    <row r="84" spans="1:4" x14ac:dyDescent="0.25">
      <c r="A84" s="66"/>
      <c r="B84" s="66"/>
      <c r="C84" s="66"/>
      <c r="D84" s="66"/>
    </row>
    <row r="85" spans="1:4" x14ac:dyDescent="0.25">
      <c r="A85" s="66"/>
      <c r="B85" s="66"/>
      <c r="C85" s="66"/>
      <c r="D85" s="66"/>
    </row>
    <row r="86" spans="1:4" x14ac:dyDescent="0.25">
      <c r="A86" s="66"/>
      <c r="B86" s="66"/>
      <c r="C86" s="66"/>
      <c r="D86" s="66"/>
    </row>
    <row r="87" spans="1:4" x14ac:dyDescent="0.25">
      <c r="A87" s="66"/>
      <c r="B87" s="66"/>
      <c r="C87" s="66"/>
      <c r="D87" s="66"/>
    </row>
    <row r="88" spans="1:4" x14ac:dyDescent="0.25">
      <c r="A88" s="66"/>
      <c r="B88" s="66"/>
      <c r="C88" s="66"/>
      <c r="D88" s="66"/>
    </row>
    <row r="89" spans="1:4" x14ac:dyDescent="0.25">
      <c r="A89" s="66"/>
      <c r="B89" s="66"/>
      <c r="C89" s="66"/>
      <c r="D89" s="66"/>
    </row>
    <row r="90" spans="1:4" x14ac:dyDescent="0.25">
      <c r="A90" s="66"/>
      <c r="B90" s="66"/>
      <c r="C90" s="66"/>
      <c r="D90" s="66"/>
    </row>
    <row r="91" spans="1:4" x14ac:dyDescent="0.25">
      <c r="A91" s="66"/>
      <c r="B91" s="66"/>
      <c r="C91" s="66"/>
      <c r="D91" s="66"/>
    </row>
    <row r="92" spans="1:4" x14ac:dyDescent="0.25">
      <c r="A92" s="66"/>
      <c r="B92" s="66"/>
      <c r="C92" s="66"/>
      <c r="D92" s="66"/>
    </row>
    <row r="93" spans="1:4" x14ac:dyDescent="0.25">
      <c r="A93" s="66"/>
      <c r="B93" s="66"/>
      <c r="C93" s="66"/>
      <c r="D93" s="66"/>
    </row>
    <row r="94" spans="1:4" x14ac:dyDescent="0.25">
      <c r="A94" s="66"/>
      <c r="B94" s="66"/>
      <c r="C94" s="66"/>
      <c r="D94" s="66"/>
    </row>
    <row r="95" spans="1:4" x14ac:dyDescent="0.25">
      <c r="A95" s="66"/>
      <c r="B95" s="66"/>
      <c r="C95" s="66"/>
      <c r="D95" s="66"/>
    </row>
    <row r="96" spans="1:4" x14ac:dyDescent="0.25">
      <c r="A96" s="66"/>
      <c r="B96" s="66"/>
      <c r="C96" s="66"/>
      <c r="D96" s="66"/>
    </row>
    <row r="97" spans="1:4" x14ac:dyDescent="0.25">
      <c r="A97" s="66"/>
      <c r="B97" s="66"/>
      <c r="C97" s="66"/>
      <c r="D97" s="66"/>
    </row>
    <row r="98" spans="1:4" x14ac:dyDescent="0.25">
      <c r="A98" s="66"/>
      <c r="B98" s="66"/>
      <c r="C98" s="66"/>
      <c r="D98" s="66"/>
    </row>
    <row r="99" spans="1:4" x14ac:dyDescent="0.25">
      <c r="A99" s="66"/>
      <c r="B99" s="66"/>
      <c r="C99" s="66"/>
      <c r="D99" s="66"/>
    </row>
    <row r="100" spans="1:4" x14ac:dyDescent="0.25">
      <c r="A100" s="66"/>
      <c r="B100" s="66"/>
      <c r="C100" s="66"/>
      <c r="D100" s="66"/>
    </row>
    <row r="101" spans="1:4" x14ac:dyDescent="0.25">
      <c r="A101" s="66"/>
      <c r="B101" s="66"/>
      <c r="C101" s="66"/>
      <c r="D101" s="66"/>
    </row>
    <row r="102" spans="1:4" x14ac:dyDescent="0.25">
      <c r="A102" s="66"/>
      <c r="B102" s="66"/>
      <c r="C102" s="66"/>
      <c r="D102" s="66"/>
    </row>
    <row r="103" spans="1:4" x14ac:dyDescent="0.25">
      <c r="A103" s="66"/>
      <c r="B103" s="66"/>
      <c r="C103" s="66"/>
      <c r="D103" s="66"/>
    </row>
    <row r="104" spans="1:4" x14ac:dyDescent="0.25">
      <c r="A104" s="66"/>
      <c r="B104" s="66"/>
      <c r="C104" s="66"/>
      <c r="D104" s="66"/>
    </row>
    <row r="105" spans="1:4" x14ac:dyDescent="0.25">
      <c r="A105" s="66"/>
      <c r="B105" s="66"/>
      <c r="C105" s="66"/>
      <c r="D105" s="66"/>
    </row>
    <row r="106" spans="1:4" x14ac:dyDescent="0.25">
      <c r="A106" s="66"/>
      <c r="B106" s="66"/>
      <c r="C106" s="66"/>
      <c r="D106" s="66"/>
    </row>
    <row r="107" spans="1:4" x14ac:dyDescent="0.25">
      <c r="A107" s="66"/>
      <c r="B107" s="66"/>
      <c r="C107" s="66"/>
      <c r="D107" s="66"/>
    </row>
    <row r="108" spans="1:4" x14ac:dyDescent="0.25">
      <c r="A108" s="66"/>
      <c r="B108" s="66"/>
      <c r="C108" s="66"/>
      <c r="D108" s="66"/>
    </row>
    <row r="109" spans="1:4" x14ac:dyDescent="0.25">
      <c r="A109" s="66"/>
      <c r="B109" s="66"/>
      <c r="C109" s="66"/>
      <c r="D109" s="66"/>
    </row>
    <row r="110" spans="1:4" x14ac:dyDescent="0.25">
      <c r="A110" s="66"/>
      <c r="B110" s="66"/>
      <c r="C110" s="66"/>
      <c r="D110" s="66"/>
    </row>
    <row r="111" spans="1:4" x14ac:dyDescent="0.25">
      <c r="A111" s="66"/>
      <c r="B111" s="66"/>
      <c r="C111" s="66"/>
      <c r="D111" s="66"/>
    </row>
    <row r="112" spans="1:4" x14ac:dyDescent="0.25">
      <c r="A112" s="66"/>
      <c r="B112" s="66"/>
      <c r="C112" s="66"/>
      <c r="D112" s="66"/>
    </row>
    <row r="113" spans="1:4" x14ac:dyDescent="0.25">
      <c r="A113" s="66"/>
      <c r="B113" s="66"/>
      <c r="C113" s="66"/>
      <c r="D113" s="66"/>
    </row>
    <row r="114" spans="1:4" x14ac:dyDescent="0.25">
      <c r="A114" s="66"/>
      <c r="B114" s="66"/>
      <c r="C114" s="66"/>
      <c r="D114" s="66"/>
    </row>
    <row r="115" spans="1:4" x14ac:dyDescent="0.25">
      <c r="A115" s="66"/>
      <c r="B115" s="66"/>
      <c r="C115" s="66"/>
      <c r="D115" s="66"/>
    </row>
    <row r="116" spans="1:4" x14ac:dyDescent="0.25">
      <c r="A116" s="66"/>
      <c r="B116" s="66"/>
      <c r="C116" s="66"/>
      <c r="D116" s="66"/>
    </row>
    <row r="117" spans="1:4" x14ac:dyDescent="0.25">
      <c r="A117" s="66"/>
      <c r="B117" s="66"/>
      <c r="C117" s="66"/>
      <c r="D117" s="66"/>
    </row>
    <row r="118" spans="1:4" x14ac:dyDescent="0.25">
      <c r="A118" s="66"/>
      <c r="B118" s="66"/>
      <c r="C118" s="66"/>
      <c r="D118" s="66"/>
    </row>
    <row r="119" spans="1:4" x14ac:dyDescent="0.25">
      <c r="A119" s="66"/>
      <c r="B119" s="66"/>
      <c r="C119" s="66"/>
      <c r="D119" s="66"/>
    </row>
    <row r="120" spans="1:4" x14ac:dyDescent="0.25">
      <c r="A120" s="66"/>
      <c r="B120" s="66"/>
      <c r="C120" s="66"/>
      <c r="D120" s="66"/>
    </row>
    <row r="121" spans="1:4" x14ac:dyDescent="0.25">
      <c r="A121" s="66"/>
      <c r="B121" s="66"/>
      <c r="C121" s="66"/>
      <c r="D121" s="66"/>
    </row>
    <row r="122" spans="1:4" x14ac:dyDescent="0.25">
      <c r="A122" s="66"/>
      <c r="B122" s="66"/>
      <c r="C122" s="66"/>
      <c r="D122" s="66"/>
    </row>
    <row r="123" spans="1:4" x14ac:dyDescent="0.25">
      <c r="A123" s="66"/>
      <c r="B123" s="66"/>
      <c r="C123" s="66"/>
      <c r="D123" s="66"/>
    </row>
    <row r="124" spans="1:4" x14ac:dyDescent="0.25">
      <c r="A124" s="66"/>
      <c r="B124" s="66"/>
      <c r="C124" s="66"/>
      <c r="D124" s="66"/>
    </row>
    <row r="125" spans="1:4" x14ac:dyDescent="0.25">
      <c r="A125" s="66"/>
      <c r="B125" s="66"/>
      <c r="C125" s="66"/>
      <c r="D125" s="66"/>
    </row>
    <row r="126" spans="1:4" x14ac:dyDescent="0.25">
      <c r="A126" s="66"/>
      <c r="B126" s="66"/>
      <c r="C126" s="66"/>
      <c r="D126" s="6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MASTER</vt:lpstr>
      <vt:lpstr>QDR</vt:lpstr>
      <vt:lpstr>MC - Obra</vt:lpstr>
      <vt:lpstr>DADOS TRATADOS</vt:lpstr>
      <vt:lpstr>'MC - Obra'!Area_de_impressao</vt:lpstr>
      <vt:lpstr>'MC - Obra'!Titulos_de_impressao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Souza</dc:creator>
  <cp:lastModifiedBy>Vanessa Domícia</cp:lastModifiedBy>
  <cp:lastPrinted>2025-09-03T18:12:38Z</cp:lastPrinted>
  <dcterms:created xsi:type="dcterms:W3CDTF">2002-12-05T12:41:02Z</dcterms:created>
  <dcterms:modified xsi:type="dcterms:W3CDTF">2026-02-09T17:56:26Z</dcterms:modified>
</cp:coreProperties>
</file>